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Z:\2021-22\IR\Q4'FY22\Final Docs\"/>
    </mc:Choice>
  </mc:AlternateContent>
  <bookViews>
    <workbookView xWindow="0" yWindow="300" windowWidth="15360" windowHeight="6492" tabRatio="783"/>
  </bookViews>
  <sheets>
    <sheet name="Cover" sheetId="5" r:id="rId1"/>
    <sheet name="Trends file-1" sheetId="7" r:id="rId2"/>
    <sheet name="Trends file-2 " sheetId="10" r:id="rId3"/>
    <sheet name="Trends file-3" sheetId="11" r:id="rId4"/>
    <sheet name="Trends file-4" sheetId="3" r:id="rId5"/>
    <sheet name="Trends file-5-SCH" sheetId="4" r:id="rId6"/>
    <sheet name="Trends file-6-Ops" sheetId="6" r:id="rId7"/>
  </sheets>
  <externalReferences>
    <externalReference r:id="rId8"/>
    <externalReference r:id="rId9"/>
    <externalReference r:id="rId10"/>
  </externalReferences>
  <definedNames>
    <definedName name="\p">#N/A</definedName>
    <definedName name="___6">#REF!</definedName>
    <definedName name="___8">#REF!</definedName>
    <definedName name="___BTM150">#REF!</definedName>
    <definedName name="___BTM200">#REF!</definedName>
    <definedName name="___BTM50">#REF!</definedName>
    <definedName name="___C">#REF!</definedName>
    <definedName name="___CON1">#REF!</definedName>
    <definedName name="___CON2">#REF!</definedName>
    <definedName name="___EXC1">#REF!</definedName>
    <definedName name="___EXC2">#REF!</definedName>
    <definedName name="___hom2">#REF!</definedName>
    <definedName name="___msl100">#REF!</definedName>
    <definedName name="___msl200">#REF!</definedName>
    <definedName name="___msl250">#REF!</definedName>
    <definedName name="___msl300">#REF!</definedName>
    <definedName name="___msl400">#REF!</definedName>
    <definedName name="___msl800">#REF!</definedName>
    <definedName name="___mui100">#REF!</definedName>
    <definedName name="___mui105">#REF!</definedName>
    <definedName name="___mui108">#REF!</definedName>
    <definedName name="___mui130">#REF!</definedName>
    <definedName name="___mui140">#REF!</definedName>
    <definedName name="___mui160">#REF!</definedName>
    <definedName name="___mui180">#REF!</definedName>
    <definedName name="___mui250">#REF!</definedName>
    <definedName name="___mui271">#REF!</definedName>
    <definedName name="___mui320">#REF!</definedName>
    <definedName name="___mui45">#REF!</definedName>
    <definedName name="___mui50">#REF!</definedName>
    <definedName name="___mui54">#REF!</definedName>
    <definedName name="___mui65">#REF!</definedName>
    <definedName name="___mui75">#REF!</definedName>
    <definedName name="___mui80">#REF!</definedName>
    <definedName name="___NET2">#REF!</definedName>
    <definedName name="___R">#REF!</definedName>
    <definedName name="___sat10">#REF!</definedName>
    <definedName name="___sat12">#REF!</definedName>
    <definedName name="___sat14">#REF!</definedName>
    <definedName name="___sat16">#REF!</definedName>
    <definedName name="___sat20">#REF!</definedName>
    <definedName name="___sat8">#REF!</definedName>
    <definedName name="___sua20">#REF!</definedName>
    <definedName name="___sua30">#REF!</definedName>
    <definedName name="___vbt150">#REF!</definedName>
    <definedName name="___vbt200">#REF!</definedName>
    <definedName name="___vbt210">#REF!</definedName>
    <definedName name="___vbt300">#REF!</definedName>
    <definedName name="___vbt400">#REF!</definedName>
    <definedName name="___vxm100">#REF!</definedName>
    <definedName name="___vxm300">#REF!</definedName>
    <definedName name="___vxm500">#REF!</definedName>
    <definedName name="___vxm75">#REF!</definedName>
    <definedName name="__6">#REF!</definedName>
    <definedName name="__8">#REF!</definedName>
    <definedName name="__BTM150">#REF!</definedName>
    <definedName name="__BTM200">#REF!</definedName>
    <definedName name="__BTM50">#REF!</definedName>
    <definedName name="__C">#REF!</definedName>
    <definedName name="__CON1">#REF!</definedName>
    <definedName name="__CON2">#REF!</definedName>
    <definedName name="__EXC1">#REF!</definedName>
    <definedName name="__EXC2">#REF!</definedName>
    <definedName name="__hom2">#REF!</definedName>
    <definedName name="__msl100">#REF!</definedName>
    <definedName name="__msl200">#REF!</definedName>
    <definedName name="__msl250">#REF!</definedName>
    <definedName name="__msl300">#REF!</definedName>
    <definedName name="__msl400">#REF!</definedName>
    <definedName name="__msl800">#REF!</definedName>
    <definedName name="__mui100">#REF!</definedName>
    <definedName name="__mui105">#REF!</definedName>
    <definedName name="__mui108">#REF!</definedName>
    <definedName name="__mui130">#REF!</definedName>
    <definedName name="__mui140">#REF!</definedName>
    <definedName name="__mui160">#REF!</definedName>
    <definedName name="__mui180">#REF!</definedName>
    <definedName name="__mui250">#REF!</definedName>
    <definedName name="__mui271">#REF!</definedName>
    <definedName name="__mui320">#REF!</definedName>
    <definedName name="__mui45">#REF!</definedName>
    <definedName name="__mui50">#REF!</definedName>
    <definedName name="__mui54">#REF!</definedName>
    <definedName name="__mui65">#REF!</definedName>
    <definedName name="__mui75">#REF!</definedName>
    <definedName name="__mui80">#REF!</definedName>
    <definedName name="__NET2">#REF!</definedName>
    <definedName name="__R">#REF!</definedName>
    <definedName name="__sat10">#REF!</definedName>
    <definedName name="__sat12">#REF!</definedName>
    <definedName name="__sat14">#REF!</definedName>
    <definedName name="__sat16">#REF!</definedName>
    <definedName name="__sat20">#REF!</definedName>
    <definedName name="__sat8">#REF!</definedName>
    <definedName name="__sua20">#REF!</definedName>
    <definedName name="__sua30">#REF!</definedName>
    <definedName name="__vbt150">#REF!</definedName>
    <definedName name="__vbt200">#REF!</definedName>
    <definedName name="__vbt210">#REF!</definedName>
    <definedName name="__vbt300">#REF!</definedName>
    <definedName name="__vbt400">#REF!</definedName>
    <definedName name="__vxm100">#REF!</definedName>
    <definedName name="__vxm300">#REF!</definedName>
    <definedName name="__vxm500">#REF!</definedName>
    <definedName name="__vxm75">#REF!</definedName>
    <definedName name="_1">#REF!</definedName>
    <definedName name="_2">#REF!</definedName>
    <definedName name="_6">#REF!</definedName>
    <definedName name="_8">#REF!</definedName>
    <definedName name="_BTM150">#REF!</definedName>
    <definedName name="_BTM200">#REF!</definedName>
    <definedName name="_BTM50">#REF!</definedName>
    <definedName name="_C">#REF!</definedName>
    <definedName name="_CON1">#REF!</definedName>
    <definedName name="_CON2">#REF!</definedName>
    <definedName name="_EXC1">#REF!</definedName>
    <definedName name="_EXC2">#REF!</definedName>
    <definedName name="_Fill" hidden="1">#REF!</definedName>
    <definedName name="_hom2">#REF!</definedName>
    <definedName name="_msl100">#REF!</definedName>
    <definedName name="_msl200">#REF!</definedName>
    <definedName name="_msl250">#REF!</definedName>
    <definedName name="_msl300">#REF!</definedName>
    <definedName name="_msl400">#REF!</definedName>
    <definedName name="_msl800">#REF!</definedName>
    <definedName name="_mui100">#REF!</definedName>
    <definedName name="_mui105">#REF!</definedName>
    <definedName name="_mui108">#REF!</definedName>
    <definedName name="_mui130">#REF!</definedName>
    <definedName name="_mui140">#REF!</definedName>
    <definedName name="_mui160">#REF!</definedName>
    <definedName name="_mui180">#REF!</definedName>
    <definedName name="_mui250">#REF!</definedName>
    <definedName name="_mui271">#REF!</definedName>
    <definedName name="_mui320">#REF!</definedName>
    <definedName name="_mui45">#REF!</definedName>
    <definedName name="_mui50">#REF!</definedName>
    <definedName name="_mui54">#REF!</definedName>
    <definedName name="_mui65">#REF!</definedName>
    <definedName name="_mui75">#REF!</definedName>
    <definedName name="_mui80">#REF!</definedName>
    <definedName name="_NET2">#REF!</definedName>
    <definedName name="_Order1" hidden="1">255</definedName>
    <definedName name="_Order2" hidden="1">255</definedName>
    <definedName name="_R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ort" hidden="1">#REF!</definedName>
    <definedName name="_sua20">#REF!</definedName>
    <definedName name="_sua30">#REF!</definedName>
    <definedName name="_vbt150">#REF!</definedName>
    <definedName name="_vbt200">#REF!</definedName>
    <definedName name="_vbt210">#REF!</definedName>
    <definedName name="_vbt300">#REF!</definedName>
    <definedName name="_vbt400">#REF!</definedName>
    <definedName name="_vxm100">#REF!</definedName>
    <definedName name="_vxm300">#REF!</definedName>
    <definedName name="_vxm500">#REF!</definedName>
    <definedName name="_vxm75">#REF!</definedName>
    <definedName name="A" localSheetId="1">'[1]Sch. 1'!$Q$25</definedName>
    <definedName name="A" localSheetId="2">'[1]Sch. 1'!$Q$25</definedName>
    <definedName name="A" localSheetId="3">'[1]Sch. 1'!$Q$25</definedName>
    <definedName name="A">#REF!</definedName>
    <definedName name="a277Print_Titles">#REF!</definedName>
    <definedName name="aaa" localSheetId="1" hidden="1">{#N/A,#N/A,FALSE,"Staffnos &amp; cost"}</definedName>
    <definedName name="aaa" localSheetId="2" hidden="1">{#N/A,#N/A,FALSE,"Staffnos &amp; cost"}</definedName>
    <definedName name="aaa" localSheetId="3" hidden="1">{#N/A,#N/A,FALSE,"Staffnos &amp; cost"}</definedName>
    <definedName name="aaa" localSheetId="4" hidden="1">{#N/A,#N/A,FALSE,"Staffnos &amp; cost"}</definedName>
    <definedName name="aaa" localSheetId="5" hidden="1">{#N/A,#N/A,FALSE,"Staffnos &amp; cost"}</definedName>
    <definedName name="aaa" localSheetId="6" hidden="1">{#N/A,#N/A,FALSE,"Staffnos &amp; cost"}</definedName>
    <definedName name="aaa" hidden="1">{#N/A,#N/A,FALSE,"Staffnos &amp; cost"}</definedName>
    <definedName name="ab">#REF!</definedName>
    <definedName name="abc">#REF!</definedName>
    <definedName name="AccessDatabase" hidden="1">"D:\Compensation\comp data 2001.xls"</definedName>
    <definedName name="aho">#REF!</definedName>
    <definedName name="aircompressor">#REF!</definedName>
    <definedName name="ASP">#REF!</definedName>
    <definedName name="b">#REF!</definedName>
    <definedName name="B_VND">0.05</definedName>
    <definedName name="B_YEN">0.1</definedName>
    <definedName name="Bang_cly">#REF!</definedName>
    <definedName name="Bang_CVC">#REF!</definedName>
    <definedName name="bang_gia">#REF!</definedName>
    <definedName name="Bang_travl">#REF!</definedName>
    <definedName name="bb" localSheetId="1" hidden="1">{#N/A,#N/A,FALSE,"Staffnos &amp; cost"}</definedName>
    <definedName name="bb" localSheetId="2" hidden="1">{#N/A,#N/A,FALSE,"Staffnos &amp; cost"}</definedName>
    <definedName name="bb" localSheetId="3" hidden="1">{#N/A,#N/A,FALSE,"Staffnos &amp; cost"}</definedName>
    <definedName name="bb" localSheetId="4" hidden="1">{#N/A,#N/A,FALSE,"Staffnos &amp; cost"}</definedName>
    <definedName name="bb" localSheetId="5" hidden="1">{#N/A,#N/A,FALSE,"Staffnos &amp; cost"}</definedName>
    <definedName name="bb" localSheetId="6" hidden="1">{#N/A,#N/A,FALSE,"Staffnos &amp; cost"}</definedName>
    <definedName name="bb" hidden="1">{#N/A,#N/A,FALSE,"Staffnos &amp; cost"}</definedName>
    <definedName name="bentonite">#REF!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S">#REF!</definedName>
    <definedName name="Book2">#REF!</definedName>
    <definedName name="BOQ">#REF!</definedName>
    <definedName name="BT">#REF!</definedName>
    <definedName name="btcocnhoi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VND">0.03</definedName>
    <definedName name="C_YEN">0.1</definedName>
    <definedName name="cfk">#REF!</definedName>
    <definedName name="chiyoko">#REF!</definedName>
    <definedName name="chung">66</definedName>
    <definedName name="Co">#REF!</definedName>
    <definedName name="COAT">#REF!</definedName>
    <definedName name="COMMON">#REF!</definedName>
    <definedName name="CON_EQP_COS">#REF!</definedName>
    <definedName name="CONC25">#REF!</definedName>
    <definedName name="CONC30">#REF!</definedName>
    <definedName name="CONCS25">#REF!</definedName>
    <definedName name="CONCS30">#REF!</definedName>
    <definedName name="Cong_HM_DTCT">#REF!</definedName>
    <definedName name="Cong_M_DTCT">#REF!</definedName>
    <definedName name="Cong_NC_DTCT">#REF!</definedName>
    <definedName name="Cong_VL_DTCT">#REF!</definedName>
    <definedName name="cot7.5">#REF!</definedName>
    <definedName name="cot8.5">#REF!</definedName>
    <definedName name="COVER">#REF!</definedName>
    <definedName name="cpc">#REF!</definedName>
    <definedName name="CRITINST">#REF!</definedName>
    <definedName name="CRITPURC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iep">#REF!</definedName>
    <definedName name="CU_LY">#REF!</definedName>
    <definedName name="cuoc_vc">#REF!</definedName>
    <definedName name="cx">#REF!</definedName>
    <definedName name="dam">78000</definedName>
    <definedName name="data">#REF!</definedName>
    <definedName name="ddd" localSheetId="1">'[1]Sch. 1'!#REF!</definedName>
    <definedName name="ddd" localSheetId="2">'[1]Sch. 1'!#REF!</definedName>
    <definedName name="ddd" localSheetId="3">'[1]Sch. 1'!#REF!</definedName>
    <definedName name="ddd">'[2]Pub Rts 1.5 Standalone'!#REF!</definedName>
    <definedName name="den_bu">#REF!</definedName>
    <definedName name="denbu">#REF!</definedName>
    <definedName name="df">#REF!</definedName>
    <definedName name="DGCTI592">#REF!</definedName>
    <definedName name="dhom">#REF!</definedName>
    <definedName name="DIS">#REF!</definedName>
    <definedName name="DSUMDATA">#REF!</definedName>
    <definedName name="duoi">#REF!</definedName>
    <definedName name="DutoanDongmo">#REF!</definedName>
    <definedName name="dw">#REF!</definedName>
    <definedName name="e">#REF!</definedName>
    <definedName name="EF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X">#REF!</definedName>
    <definedName name="EXC">#REF!</definedName>
    <definedName name="EXCH">#REF!</definedName>
    <definedName name="_xlnm.Extract">#REF!</definedName>
    <definedName name="FAXNO">#REF!</definedName>
    <definedName name="FC5_total">#REF!</definedName>
    <definedName name="FC6_total">#REF!</definedName>
    <definedName name="ghip">#REF!</definedName>
    <definedName name="gia">#REF!</definedName>
    <definedName name="gia_tien">#REF!</definedName>
    <definedName name="gia_tien_BTN">#REF!</definedName>
    <definedName name="gt">#REF!</definedName>
    <definedName name="HF">#REF!</definedName>
    <definedName name="HHcat">#REF!</definedName>
    <definedName name="HHda">#REF!</definedName>
    <definedName name="HHxm">#REF!</definedName>
    <definedName name="hien">#REF!</definedName>
    <definedName name="hoc">55000</definedName>
    <definedName name="HOME_MANP">#REF!</definedName>
    <definedName name="HOMEOFFICE_COST">#REF!</definedName>
    <definedName name="hßm4">#REF!</definedName>
    <definedName name="HTML_CodePage" hidden="1">950</definedName>
    <definedName name="HTML_Control" localSheetId="1" hidden="1">{"'Sheet1'!$L$16"}</definedName>
    <definedName name="HTML_Control" localSheetId="2" hidden="1">{"'Sheet1'!$L$16"}</definedName>
    <definedName name="HTML_Control" localSheetId="3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1" hidden="1">{"'Sheet1'!$L$16"}</definedName>
    <definedName name="huy" localSheetId="2" hidden="1">{"'Sheet1'!$L$16"}</definedName>
    <definedName name="huy" localSheetId="3" hidden="1">{"'Sheet1'!$L$16"}</definedName>
    <definedName name="huy" hidden="1">{"'Sheet1'!$L$16"}</definedName>
    <definedName name="I" localSheetId="1">'[1]Sch. 1'!$Q$25</definedName>
    <definedName name="I" localSheetId="2">'[1]Sch. 1'!$Q$25</definedName>
    <definedName name="I" localSheetId="3">'[1]Sch. 1'!$Q$25</definedName>
    <definedName name="I">#REF!</definedName>
    <definedName name="IDLAB_COST">#REF!</definedName>
    <definedName name="in">#REF!</definedName>
    <definedName name="INDMANP">#REF!</definedName>
    <definedName name="kaori">#REF!</definedName>
    <definedName name="kazuyo">#REF!</definedName>
    <definedName name="kcong">#REF!</definedName>
    <definedName name="khac">2</definedName>
    <definedName name="Kiem_tra_trung_ten">#REF!</definedName>
    <definedName name="lan">#REF!</definedName>
    <definedName name="LC5_total">#REF!</definedName>
    <definedName name="LC6_total">#REF!</definedName>
    <definedName name="LG">#REF!</definedName>
    <definedName name="MAJ_CON_EQP">#REF!</definedName>
    <definedName name="masaru">#REF!</definedName>
    <definedName name="may">#REF!</definedName>
    <definedName name="mayumi">#REF!</definedName>
    <definedName name="mbangtai10">#REF!</definedName>
    <definedName name="mbangtai100">#REF!</definedName>
    <definedName name="mbangtai15">#REF!</definedName>
    <definedName name="mbangtai150">#REF!</definedName>
    <definedName name="mbangtai25">#REF!</definedName>
    <definedName name="mbombtth50">#REF!</definedName>
    <definedName name="mbombtth60">#REF!</definedName>
    <definedName name="mbomdien0.55">#REF!</definedName>
    <definedName name="mbomdien0.75">#REF!</definedName>
    <definedName name="mbomdien1.1">#REF!</definedName>
    <definedName name="mbomdien1.5">#REF!</definedName>
    <definedName name="mbomdien10">#REF!</definedName>
    <definedName name="mbomdien113">#REF!</definedName>
    <definedName name="mbomdien14">#REF!</definedName>
    <definedName name="mbomdien2">#REF!</definedName>
    <definedName name="mbomdien2.8">#REF!</definedName>
    <definedName name="mbomdien20">#REF!</definedName>
    <definedName name="mbomdien22">#REF!</definedName>
    <definedName name="mbomdien28">#REF!</definedName>
    <definedName name="mbomdien30">#REF!</definedName>
    <definedName name="mbomdien4">#REF!</definedName>
    <definedName name="mbomdien4.5">#REF!</definedName>
    <definedName name="mbomdien40">#REF!</definedName>
    <definedName name="mbomdien50">#REF!</definedName>
    <definedName name="mbomdien55">#REF!</definedName>
    <definedName name="mbomdien7">#REF!</definedName>
    <definedName name="mbomdien75">#REF!</definedName>
    <definedName name="mbomth10">#REF!</definedName>
    <definedName name="mbomth100">#REF!</definedName>
    <definedName name="mbomth15">#REF!</definedName>
    <definedName name="mbomth150">#REF!</definedName>
    <definedName name="mbomth20">#REF!</definedName>
    <definedName name="mbomth37">#REF!</definedName>
    <definedName name="mbomth45">#REF!</definedName>
    <definedName name="mbomth5">#REF!</definedName>
    <definedName name="mbomth5.5">#REF!</definedName>
    <definedName name="mbomth7">#REF!</definedName>
    <definedName name="mbomth7.5">#REF!</definedName>
    <definedName name="mbomth75">#REF!</definedName>
    <definedName name="mbomthxang3">#REF!</definedName>
    <definedName name="mbomthxang4">#REF!</definedName>
    <definedName name="mbomthxang6">#REF!</definedName>
    <definedName name="mbomthxang7">#REF!</definedName>
    <definedName name="mbomthxang8">#REF!</definedName>
    <definedName name="mbomvua2">#REF!</definedName>
    <definedName name="mbomvua4">#REF!</definedName>
    <definedName name="mbomvua6">#REF!</definedName>
    <definedName name="mbomvua9">#REF!</definedName>
    <definedName name="mbuacankhi1.5">#REF!</definedName>
    <definedName name="mbuadcocnoi2.5">#REF!</definedName>
    <definedName name="mbuadray1.2">#REF!</definedName>
    <definedName name="mbuadray1.8">#REF!</definedName>
    <definedName name="mbuadray2.2">#REF!</definedName>
    <definedName name="mbuadray2.5">#REF!</definedName>
    <definedName name="mbuadray3.5">#REF!</definedName>
    <definedName name="mbuarung170">#REF!</definedName>
    <definedName name="mbuarung40">#REF!</definedName>
    <definedName name="mbuarung50">#REF!</definedName>
    <definedName name="mbuarungccatth60">#REF!</definedName>
    <definedName name="mbuathbx0.6">#REF!</definedName>
    <definedName name="mbuathbx1.2">#REF!</definedName>
    <definedName name="mbuathbx1.8">#REF!</definedName>
    <definedName name="mbuathbx3.5">#REF!</definedName>
    <definedName name="mbuathbx4.5">#REF!</definedName>
    <definedName name="mc">#REF!</definedName>
    <definedName name="mcambactham1">#REF!</definedName>
    <definedName name="mcano30">#REF!</definedName>
    <definedName name="mcano75">#REF!</definedName>
    <definedName name="mcap1g10">#REF!</definedName>
    <definedName name="mcap1g16">#REF!</definedName>
    <definedName name="mcap1g25">#REF!</definedName>
    <definedName name="mcap1g9">#REF!</definedName>
    <definedName name="mcatdot2.8">#REF!</definedName>
    <definedName name="mcatong5">#REF!</definedName>
    <definedName name="mcatton15">#REF!</definedName>
    <definedName name="mcatuonthep5">#REF!</definedName>
    <definedName name="mcaulongmon10">#REF!</definedName>
    <definedName name="mcaulongmon30">#REF!</definedName>
    <definedName name="mcaulongmon60">#REF!</definedName>
    <definedName name="mcauray20">#REF!</definedName>
    <definedName name="mcauray25">#REF!</definedName>
    <definedName name="mcayxoidk108">#REF!</definedName>
    <definedName name="mcayxoidk60">#REF!</definedName>
    <definedName name="mcayxoidk80">#REF!</definedName>
    <definedName name="mccaubh10">#REF!</definedName>
    <definedName name="mccaubh16">#REF!</definedName>
    <definedName name="mccaubh25">#REF!</definedName>
    <definedName name="mccaubh3">#REF!</definedName>
    <definedName name="mccaubh4">#REF!</definedName>
    <definedName name="mccaubh40">#REF!</definedName>
    <definedName name="mccaubh5">#REF!</definedName>
    <definedName name="mccaubh6">#REF!</definedName>
    <definedName name="mccaubh65">#REF!</definedName>
    <definedName name="mccaubh7">#REF!</definedName>
    <definedName name="mccaubh8">#REF!</definedName>
    <definedName name="mccaubh90">#REF!</definedName>
    <definedName name="mccaubx10">#REF!</definedName>
    <definedName name="mccaubx100">#REF!</definedName>
    <definedName name="mccaubx16">#REF!</definedName>
    <definedName name="mccaubx25">#REF!</definedName>
    <definedName name="mccaubx28">#REF!</definedName>
    <definedName name="mccaubx40">#REF!</definedName>
    <definedName name="mccaubx5">#REF!</definedName>
    <definedName name="mccaubx50">#REF!</definedName>
    <definedName name="mccaubx63">#REF!</definedName>
    <definedName name="mccaubx7">#REF!</definedName>
    <definedName name="mccauladam60">#REF!</definedName>
    <definedName name="mccaunoi100">#REF!</definedName>
    <definedName name="mccaunoi30">#REF!</definedName>
    <definedName name="mccauthap10">#REF!</definedName>
    <definedName name="mccauthap12">#REF!</definedName>
    <definedName name="mccauthap15">#REF!</definedName>
    <definedName name="mccauthap20">#REF!</definedName>
    <definedName name="mccauthap25">#REF!</definedName>
    <definedName name="mccauthap3">#REF!</definedName>
    <definedName name="mccauthap30">#REF!</definedName>
    <definedName name="mccauthap40">#REF!</definedName>
    <definedName name="mccauthap5">#REF!</definedName>
    <definedName name="mccauthap50">#REF!</definedName>
    <definedName name="mccauthap8">#REF!</definedName>
    <definedName name="mccautnhi0.5">#REF!</definedName>
    <definedName name="mcuakl1.7">#REF!</definedName>
    <definedName name="mdamban0.4">#REF!</definedName>
    <definedName name="mdamban0.6">#REF!</definedName>
    <definedName name="mdamban0.8">#REF!</definedName>
    <definedName name="mdamban1">#REF!</definedName>
    <definedName name="mdambhdkbx12.5">#REF!</definedName>
    <definedName name="mdambhdkbx18">#REF!</definedName>
    <definedName name="mdambhdkbx25">#REF!</definedName>
    <definedName name="mdambhdkbx26.5">#REF!</definedName>
    <definedName name="mdambhdkbx9">#REF!</definedName>
    <definedName name="mdambhth16">#REF!</definedName>
    <definedName name="mdambhth17.5">#REF!</definedName>
    <definedName name="mdambhth25">#REF!</definedName>
    <definedName name="mdambthepth10">#REF!</definedName>
    <definedName name="mdambthepth12.2">#REF!</definedName>
    <definedName name="mdambthepth13">#REF!</definedName>
    <definedName name="mdambthepth14.5">#REF!</definedName>
    <definedName name="mdambthepth15.5">#REF!</definedName>
    <definedName name="mdambthepth8.5">#REF!</definedName>
    <definedName name="mdamcanh1">#REF!</definedName>
    <definedName name="mdamccdk5.5">#REF!</definedName>
    <definedName name="mdamccdk9">#REF!</definedName>
    <definedName name="mdamdatct60">#REF!</definedName>
    <definedName name="mdamdatct80">#REF!</definedName>
    <definedName name="mdamdui0.6">#REF!</definedName>
    <definedName name="mdamdui0.8">#REF!</definedName>
    <definedName name="mdamdui1">#REF!</definedName>
    <definedName name="mdamdui1.5">#REF!</definedName>
    <definedName name="mdamdui2.8">#REF!</definedName>
    <definedName name="mdamrung15">#REF!</definedName>
    <definedName name="mdamrung18">#REF!</definedName>
    <definedName name="mdamrung8">#REF!</definedName>
    <definedName name="mdao1gbh0.15">#REF!</definedName>
    <definedName name="mdao1gbh0.25">#REF!</definedName>
    <definedName name="mdao1gbh0.30">#REF!</definedName>
    <definedName name="mdao1gbh0.35">#REF!</definedName>
    <definedName name="mdao1gbh0.40">#REF!</definedName>
    <definedName name="mdao1gbh0.65">#REF!</definedName>
    <definedName name="mdao1gbh0.75">#REF!</definedName>
    <definedName name="mdao1gbh1.25">#REF!</definedName>
    <definedName name="mdao1gbx0.22">#REF!</definedName>
    <definedName name="mdao1gbx0.25">#REF!</definedName>
    <definedName name="mdao1gbx0.30">#REF!</definedName>
    <definedName name="mdao1gbx0.35">#REF!</definedName>
    <definedName name="mdao1gbx0.40">#REF!</definedName>
    <definedName name="mdao1gbx0.50">#REF!</definedName>
    <definedName name="mdao1gbx0.65">#REF!</definedName>
    <definedName name="mdao1gbx1.00">#REF!</definedName>
    <definedName name="mdao1gbx1.20">#REF!</definedName>
    <definedName name="mdao1gbx1.25">#REF!</definedName>
    <definedName name="mdao1gbx1.60">#REF!</definedName>
    <definedName name="mdao1gbx2.00">#REF!</definedName>
    <definedName name="mdao1gbx2.50">#REF!</definedName>
    <definedName name="mdao1gbx4.00">#REF!</definedName>
    <definedName name="mdao1gbx4.60">#REF!</definedName>
    <definedName name="mdao1gbx5.00">#REF!</definedName>
    <definedName name="me">#REF!</definedName>
    <definedName name="mepcocsau1">#REF!</definedName>
    <definedName name="mepcoctr100">#REF!</definedName>
    <definedName name="mepcoctr60">#REF!</definedName>
    <definedName name="MG_A">#REF!</definedName>
    <definedName name="mhan1chieu40">#REF!</definedName>
    <definedName name="mhan1chieu50">#REF!</definedName>
    <definedName name="mhancatnuoc124">#REF!</definedName>
    <definedName name="mhand10.2">#REF!</definedName>
    <definedName name="mhand27.5">#REF!</definedName>
    <definedName name="mhand4">#REF!</definedName>
    <definedName name="mhanhoi1000">#REF!</definedName>
    <definedName name="mhanhoi2000">#REF!</definedName>
    <definedName name="mhanxang20">#REF!</definedName>
    <definedName name="mhanxang9">#REF!</definedName>
    <definedName name="mhanxchieu23">#REF!</definedName>
    <definedName name="mhanxchieu29.2">#REF!</definedName>
    <definedName name="mhanxchieu33.5">#REF!</definedName>
    <definedName name="mkcnGPS15">#REF!</definedName>
    <definedName name="mkcnTRC15">#REF!</definedName>
    <definedName name="mkcnVRM">#REF!</definedName>
    <definedName name="mkeobh165">#REF!</definedName>
    <definedName name="mkeobh215">#REF!</definedName>
    <definedName name="mkeobh28">#REF!</definedName>
    <definedName name="mkeobh40">#REF!</definedName>
    <definedName name="mkeobh50">#REF!</definedName>
    <definedName name="mkeobh55">#REF!</definedName>
    <definedName name="mkeobh60">#REF!</definedName>
    <definedName name="mkeobh80">#REF!</definedName>
    <definedName name="mkeobx108">#REF!</definedName>
    <definedName name="mkeobx130">#REF!</definedName>
    <definedName name="mkeobx45">#REF!</definedName>
    <definedName name="mkeobx54">#REF!</definedName>
    <definedName name="mkeobx60">#REF!</definedName>
    <definedName name="mkeobx75">#REF!</definedName>
    <definedName name="mkhoanbttay24">#REF!</definedName>
    <definedName name="mkhoanbttay30">#REF!</definedName>
    <definedName name="mkhoanbttay38">#REF!</definedName>
    <definedName name="mkhoanbttay40">#REF!</definedName>
    <definedName name="mkhoandatay30">#REF!</definedName>
    <definedName name="mkhoandatay42">#REF!</definedName>
    <definedName name="mkhoandung4.5">#REF!</definedName>
    <definedName name="mkhoansattay13">#REF!</definedName>
    <definedName name="mkhoanxoayth110">#REF!</definedName>
    <definedName name="mkhoanxoayth95">#REF!</definedName>
    <definedName name="mkichck18">#REF!</definedName>
    <definedName name="mkichck250">#REF!</definedName>
    <definedName name="mkichday60">#REF!</definedName>
    <definedName name="mkichnang100">#REF!</definedName>
    <definedName name="mkichnang250">#REF!</definedName>
    <definedName name="mkichnang500">#REF!</definedName>
    <definedName name="mluoncap15">#REF!</definedName>
    <definedName name="mmai2.7">#REF!</definedName>
    <definedName name="mnenkhid102">#REF!</definedName>
    <definedName name="mnenkhid120">#REF!</definedName>
    <definedName name="mnenkhid1200">#REF!</definedName>
    <definedName name="mnenkhid200">#REF!</definedName>
    <definedName name="mnenkhid240">#REF!</definedName>
    <definedName name="mnenkhid300">#REF!</definedName>
    <definedName name="mnenkhid360">#REF!</definedName>
    <definedName name="mnenkhid5.5">#REF!</definedName>
    <definedName name="mnenkhid540">#REF!</definedName>
    <definedName name="mnenkhid600">#REF!</definedName>
    <definedName name="mnenkhid660">#REF!</definedName>
    <definedName name="mnenkhid75">#REF!</definedName>
    <definedName name="mnenkhidien10">#REF!</definedName>
    <definedName name="mnenkhidien150">#REF!</definedName>
    <definedName name="mnenkhidien216">#REF!</definedName>
    <definedName name="mnenkhidien22">#REF!</definedName>
    <definedName name="mnenkhidien270">#REF!</definedName>
    <definedName name="mnenkhidien30">#REF!</definedName>
    <definedName name="mnenkhidien300">#REF!</definedName>
    <definedName name="mnenkhidien5">#REF!</definedName>
    <definedName name="mnenkhidien56">#REF!</definedName>
    <definedName name="mnenkhidien600">#REF!</definedName>
    <definedName name="mnenkhixang11">#REF!</definedName>
    <definedName name="mnenkhixang120">#REF!</definedName>
    <definedName name="mnenkhixang200">#REF!</definedName>
    <definedName name="mnenkhixang25">#REF!</definedName>
    <definedName name="mnenkhixang3">#REF!</definedName>
    <definedName name="mnenkhixang300">#REF!</definedName>
    <definedName name="mnenkhixang40">#REF!</definedName>
    <definedName name="mnenkhixang600">#REF!</definedName>
    <definedName name="mnghiendad25">#REF!</definedName>
    <definedName name="mnghiendadd20">#REF!</definedName>
    <definedName name="mnghiendadd6">#REF!</definedName>
    <definedName name="mnghiendatho14">#REF!</definedName>
    <definedName name="mnghiendatho200">#REF!</definedName>
    <definedName name="mnhogcaydk100">#REF!</definedName>
    <definedName name="mnhogcaydk54">#REF!</definedName>
    <definedName name="mnhogcaydk75">#REF!</definedName>
    <definedName name="morita">#REF!</definedName>
    <definedName name="moritavn">#REF!</definedName>
    <definedName name="motodk150">#REF!</definedName>
    <definedName name="motodk180">#REF!</definedName>
    <definedName name="motodk200">#REF!</definedName>
    <definedName name="motodk240">#REF!</definedName>
    <definedName name="motodk255">#REF!</definedName>
    <definedName name="motodk272">#REF!</definedName>
    <definedName name="motothung10">#REF!</definedName>
    <definedName name="motothung12">#REF!</definedName>
    <definedName name="motothung12.5">#REF!</definedName>
    <definedName name="motothung2">#REF!</definedName>
    <definedName name="motothung2.5">#REF!</definedName>
    <definedName name="motothung20">#REF!</definedName>
    <definedName name="motothung4">#REF!</definedName>
    <definedName name="motothung5">#REF!</definedName>
    <definedName name="motothung6">#REF!</definedName>
    <definedName name="motothung7">#REF!</definedName>
    <definedName name="mototnuoc4">#REF!</definedName>
    <definedName name="mototnuoc5">#REF!</definedName>
    <definedName name="mototnuoc6">#REF!</definedName>
    <definedName name="mototnuoc7">#REF!</definedName>
    <definedName name="mototudo10">#REF!</definedName>
    <definedName name="mototudo12">#REF!</definedName>
    <definedName name="mototudo15">#REF!</definedName>
    <definedName name="mototudo2.5">#REF!</definedName>
    <definedName name="mototudo20">#REF!</definedName>
    <definedName name="mototudo25">#REF!</definedName>
    <definedName name="mototudo27">#REF!</definedName>
    <definedName name="mototudo3.5">#REF!</definedName>
    <definedName name="mototudo4">#REF!</definedName>
    <definedName name="mototudo5">#REF!</definedName>
    <definedName name="mototudo6">#REF!</definedName>
    <definedName name="mototudo7">#REF!</definedName>
    <definedName name="mototudo9">#REF!</definedName>
    <definedName name="motovcbt6">#REF!</definedName>
    <definedName name="mpha250">#REF!</definedName>
    <definedName name="mphaothep10">#REF!</definedName>
    <definedName name="mphaothep15">#REF!</definedName>
    <definedName name="mphatdienld10">#REF!</definedName>
    <definedName name="mphatdienld112">#REF!</definedName>
    <definedName name="mphatdienld122">#REF!</definedName>
    <definedName name="mphatdienld15">#REF!</definedName>
    <definedName name="mphatdienld20">#REF!</definedName>
    <definedName name="mphatdienld25">#REF!</definedName>
    <definedName name="mphatdienld30">#REF!</definedName>
    <definedName name="mphatdienld38">#REF!</definedName>
    <definedName name="mphatdienld45">#REF!</definedName>
    <definedName name="mphatdienld5.2">#REF!</definedName>
    <definedName name="mphatdienld50">#REF!</definedName>
    <definedName name="mphatdienld60">#REF!</definedName>
    <definedName name="mphatdienld75">#REF!</definedName>
    <definedName name="mphatdienld8">#REF!</definedName>
    <definedName name="mphunson400">#REF!</definedName>
    <definedName name="mphunvua2">#REF!</definedName>
    <definedName name="mphunvua4">#REF!</definedName>
    <definedName name="mraibtsp500">#REF!</definedName>
    <definedName name="mraintn100">#REF!</definedName>
    <definedName name="mraintn65">#REF!</definedName>
    <definedName name="mromooc14">#REF!</definedName>
    <definedName name="mromooc15">#REF!</definedName>
    <definedName name="mromooc2">#REF!</definedName>
    <definedName name="mromooc21">#REF!</definedName>
    <definedName name="mromooc4">#REF!</definedName>
    <definedName name="mromooc7.5">#REF!</definedName>
    <definedName name="msangbentontie1">#REF!</definedName>
    <definedName name="msangruada11">#REF!</definedName>
    <definedName name="msangruada35">#REF!</definedName>
    <definedName name="msangruada45">#REF!</definedName>
    <definedName name="msanth108">#REF!</definedName>
    <definedName name="msanth180">#REF!</definedName>
    <definedName name="msanth250">#REF!</definedName>
    <definedName name="msanth54">#REF!</definedName>
    <definedName name="msanth90">#REF!</definedName>
    <definedName name="mtaukeo150">#REF!</definedName>
    <definedName name="mtaukeo360">#REF!</definedName>
    <definedName name="mtaukeo600">#REF!</definedName>
    <definedName name="mtbipvlan150">#REF!</definedName>
    <definedName name="mthungcapdkbx2.5">#REF!</definedName>
    <definedName name="mthungcapdkbx2.75">#REF!</definedName>
    <definedName name="mthungcapdkbx3">#REF!</definedName>
    <definedName name="mthungcapdkbx4.5">#REF!</definedName>
    <definedName name="mthungcapdkbx5">#REF!</definedName>
    <definedName name="mthungcapdkbx8">#REF!</definedName>
    <definedName name="mthungcapdkbx9">#REF!</definedName>
    <definedName name="mtien4.5">#REF!</definedName>
    <definedName name="mtoidien0.5">#REF!</definedName>
    <definedName name="mtoidien1">#REF!</definedName>
    <definedName name="mtoidien1.5">#REF!</definedName>
    <definedName name="mtoidien2">#REF!</definedName>
    <definedName name="mtoidien2.5">#REF!</definedName>
    <definedName name="mtoidien3">#REF!</definedName>
    <definedName name="mtoidien4">#REF!</definedName>
    <definedName name="mtoidien5">#REF!</definedName>
    <definedName name="mtrambomdau40">#REF!</definedName>
    <definedName name="mtrambomdau50">#REF!</definedName>
    <definedName name="mtramtronbt20">#REF!</definedName>
    <definedName name="mtramtronbt22">#REF!</definedName>
    <definedName name="mtramtronbt30">#REF!</definedName>
    <definedName name="mtramtronbt60">#REF!</definedName>
    <definedName name="mtramtronbtn25">#REF!</definedName>
    <definedName name="mtramtronbtn30">#REF!</definedName>
    <definedName name="mtramtronbtn40">#REF!</definedName>
    <definedName name="mtramtronbtn50">#REF!</definedName>
    <definedName name="mtramtronbtn60">#REF!</definedName>
    <definedName name="mtramtronbtn80">#REF!</definedName>
    <definedName name="mtronbentonite1">#REF!</definedName>
    <definedName name="mtronbt100">#REF!</definedName>
    <definedName name="mtronbt1150">#REF!</definedName>
    <definedName name="mtronbt150">#REF!</definedName>
    <definedName name="mtronbt1600">#REF!</definedName>
    <definedName name="mtronbt200">#REF!</definedName>
    <definedName name="mtronbt250">#REF!</definedName>
    <definedName name="mtronbt425">#REF!</definedName>
    <definedName name="mtronbt500">#REF!</definedName>
    <definedName name="mtronbt800">#REF!</definedName>
    <definedName name="mtronvua110">#REF!</definedName>
    <definedName name="mtronvua150">#REF!</definedName>
    <definedName name="mtronvua200">#REF!</definedName>
    <definedName name="mtronvua250">#REF!</definedName>
    <definedName name="mtronvua325">#REF!</definedName>
    <definedName name="mtronvua80">#REF!</definedName>
    <definedName name="muonong2.8">#REF!</definedName>
    <definedName name="mvanthang0.3">#REF!</definedName>
    <definedName name="mvanthang0.5">#REF!</definedName>
    <definedName name="mvanthang2">#REF!</definedName>
    <definedName name="mxebombt90">#REF!</definedName>
    <definedName name="mxenanghang1.5">#REF!</definedName>
    <definedName name="mxenanghang12">#REF!</definedName>
    <definedName name="mxenanghang3">#REF!</definedName>
    <definedName name="mxenanghang3.2">#REF!</definedName>
    <definedName name="mxenanghang3.5">#REF!</definedName>
    <definedName name="mxenanghang5">#REF!</definedName>
    <definedName name="mxetuoinhua190">#REF!</definedName>
    <definedName name="mxuclat0.40">#REF!</definedName>
    <definedName name="mxuclat1.00">#REF!</definedName>
    <definedName name="mxuclat1.65">#REF!</definedName>
    <definedName name="mxuclat2.00">#REF!</definedName>
    <definedName name="mxuclat2.80">#REF!</definedName>
    <definedName name="myle">#REF!</definedName>
    <definedName name="n" hidden="1">#REF!</definedName>
    <definedName name="nc">#REF!</definedName>
    <definedName name="ncong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H">#REF!</definedName>
    <definedName name="NHot">#REF!</definedName>
    <definedName name="No">#REF!</definedName>
    <definedName name="odaki">#REF!</definedName>
    <definedName name="OLE_LINK1" localSheetId="6">'Trends file-6-Ops'!#REF!</definedName>
    <definedName name="ONE" localSheetId="1">'[1]Sch. 1'!$Q$26</definedName>
    <definedName name="ONE" localSheetId="2">'[1]Sch. 1'!$Q$26</definedName>
    <definedName name="ONE" localSheetId="3">'[1]Sch. 1'!$Q$26</definedName>
    <definedName name="ONE">#REF!</definedName>
    <definedName name="ophom">#REF!</definedName>
    <definedName name="P7b">#REF!</definedName>
    <definedName name="PA">#REF!</definedName>
    <definedName name="_xlnm.Print_Area" localSheetId="0">Cover!$A$1:$M$25</definedName>
    <definedName name="_xlnm.Print_Area" localSheetId="1">'Trends file-1'!$A$1:$H$107</definedName>
    <definedName name="_xlnm.Print_Area" localSheetId="2">'Trends file-2 '!$A$1:$H$96</definedName>
    <definedName name="_xlnm.Print_Area" localSheetId="3">'Trends file-3'!$A$1:$H$87</definedName>
    <definedName name="_xlnm.Print_Area" localSheetId="4">'Trends file-4'!$A$1:$H$274</definedName>
    <definedName name="_xlnm.Print_Area" localSheetId="5">'Trends file-5-SCH'!$A$1:$H$176</definedName>
    <definedName name="_xlnm.Print_Area" localSheetId="6">'Trends file-6-Ops'!$A$1:$H$175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INTA">#REF!</definedName>
    <definedName name="PRINTB">#REF!</definedName>
    <definedName name="PRINTC">#REF!</definedName>
    <definedName name="PROPOSAL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WHT">#REF!</definedName>
    <definedName name="qtdm">#REF!</definedName>
    <definedName name="rate" localSheetId="1">'[1]Sch. 1'!$A$40</definedName>
    <definedName name="rate" localSheetId="2">'[1]Sch. 1'!$A$40</definedName>
    <definedName name="rate" localSheetId="3">'[1]Sch. 1'!$A$40</definedName>
    <definedName name="rate">#REF!</definedName>
    <definedName name="rate1" localSheetId="1">'[1]Sch. 1'!$A$41</definedName>
    <definedName name="rate1" localSheetId="2">'[1]Sch. 1'!$A$41</definedName>
    <definedName name="rate1" localSheetId="3">'[1]Sch. 1'!$A$41</definedName>
    <definedName name="rate1">#REF!</definedName>
    <definedName name="RATES">#REF!</definedName>
    <definedName name="RED_RIVER_BRIDGE__THANH_TRI_BRIDGE__CONSTRUCTION_PROJECT">#REF!</definedName>
    <definedName name="REO">#REF!</definedName>
    <definedName name="RT">#REF!</definedName>
    <definedName name="satu">#REF!</definedName>
    <definedName name="Sheet1">#REF!</definedName>
    <definedName name="sho">#REF!</definedName>
    <definedName name="SORT">#REF!</definedName>
    <definedName name="SPEC">#REF!</definedName>
    <definedName name="SPECSUMMARY">#REF!</definedName>
    <definedName name="SSTR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UMMARY">#REF!</definedName>
    <definedName name="TaxTV">10%</definedName>
    <definedName name="TaxXL">5%</definedName>
    <definedName name="TBA">#REF!</definedName>
    <definedName name="tdia">#REF!</definedName>
    <definedName name="tdt">#REF!</definedName>
    <definedName name="ten">#REF!</definedName>
    <definedName name="thdt">#REF!</definedName>
    <definedName name="thue">6</definedName>
    <definedName name="Tien">#REF!</definedName>
    <definedName name="Tim_lan_xuat_hien">#REF!</definedName>
    <definedName name="tim_xuat_hien">#REF!</definedName>
    <definedName name="tld">#REF!</definedName>
    <definedName name="tly">#REF!</definedName>
    <definedName name="tn">#REF!</definedName>
    <definedName name="Tong">#REF!</definedName>
    <definedName name="tongcong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VAT_LIEU">#REF!</definedName>
    <definedName name="TRA_VL">#REF!</definedName>
    <definedName name="TRAVL">#REF!</definedName>
    <definedName name="trt">#REF!</definedName>
    <definedName name="tt">#REF!</definedName>
    <definedName name="tthi">#REF!</definedName>
    <definedName name="TTLB1">#REF!</definedName>
    <definedName name="TTLB2">#REF!</definedName>
    <definedName name="TTLB3">#REF!</definedName>
    <definedName name="ty_le">#REF!</definedName>
    <definedName name="ty_le_BTN">#REF!</definedName>
    <definedName name="Ty_le1">#REF!</definedName>
    <definedName name="usd">#REF!</definedName>
    <definedName name="USD_Rate" localSheetId="1">'[1]Sch. 1'!$AM$2</definedName>
    <definedName name="USD_Rate" localSheetId="2">'[1]Sch. 1'!$AM$2</definedName>
    <definedName name="USD_Rate" localSheetId="3">'[1]Sch. 1'!$AM$2</definedName>
    <definedName name="USD_Rate">[3]KPIs!$AM$2</definedName>
    <definedName name="usrNext1Period" localSheetId="1">'[1]Sch. 1'!$A$12</definedName>
    <definedName name="usrNext1Period" localSheetId="2">'[1]Sch. 1'!$A$12</definedName>
    <definedName name="usrNext1Period" localSheetId="3">'[1]Sch. 1'!$A$12</definedName>
    <definedName name="usrNext1Period">#REF!</definedName>
    <definedName name="VARIINST">#REF!</definedName>
    <definedName name="VARIPURC">#REF!</definedName>
    <definedName name="vat">#REF!</definedName>
    <definedName name="vbt400d">#REF!</definedName>
    <definedName name="vbta">#REF!</definedName>
    <definedName name="vbtB">#REF!</definedName>
    <definedName name="vbtD">#REF!</definedName>
    <definedName name="vbtE">#REF!</definedName>
    <definedName name="vbtF">#REF!</definedName>
    <definedName name="vbtg">#REF!</definedName>
    <definedName name="viet">#REF!</definedName>
    <definedName name="vtu">#REF!</definedName>
    <definedName name="W">#REF!</definedName>
    <definedName name="waterway">#REF!</definedName>
    <definedName name="wrn.Staff._.cost1998." localSheetId="1" hidden="1">{#N/A,#N/A,TRUE,"Staffnos &amp; cost"}</definedName>
    <definedName name="wrn.Staff._.cost1998." localSheetId="2" hidden="1">{#N/A,#N/A,TRUE,"Staffnos &amp; cost"}</definedName>
    <definedName name="wrn.Staff._.cost1998." localSheetId="3" hidden="1">{#N/A,#N/A,TRUE,"Staffnos &amp; cost"}</definedName>
    <definedName name="wrn.Staff._.cost1998." localSheetId="4" hidden="1">{#N/A,#N/A,TRUE,"Staffnos &amp; cost"}</definedName>
    <definedName name="wrn.Staff._.cost1998." localSheetId="5" hidden="1">{#N/A,#N/A,TRUE,"Staffnos &amp; cost"}</definedName>
    <definedName name="wrn.Staff._.cost1998." localSheetId="6" hidden="1">{#N/A,#N/A,TRUE,"Staffnos &amp; cost"}</definedName>
    <definedName name="wrn.Staff._.cost1998." hidden="1">{#N/A,#N/A,TRUE,"Staffnos &amp; cost"}</definedName>
    <definedName name="wrn.Staffcost." localSheetId="1" hidden="1">{#N/A,#N/A,FALSE,"Staffnos &amp; cost"}</definedName>
    <definedName name="wrn.Staffcost." localSheetId="2" hidden="1">{#N/A,#N/A,FALSE,"Staffnos &amp; cost"}</definedName>
    <definedName name="wrn.Staffcost." localSheetId="3" hidden="1">{#N/A,#N/A,FALSE,"Staffnos &amp; cost"}</definedName>
    <definedName name="wrn.Staffcost." localSheetId="4" hidden="1">{#N/A,#N/A,FALSE,"Staffnos &amp; cost"}</definedName>
    <definedName name="wrn.Staffcost." localSheetId="5" hidden="1">{#N/A,#N/A,FALSE,"Staffnos &amp; cost"}</definedName>
    <definedName name="wrn.Staffcost." localSheetId="6" hidden="1">{#N/A,#N/A,FALSE,"Staffnos &amp; cost"}</definedName>
    <definedName name="wrn.Staffcost." hidden="1">{#N/A,#N/A,FALSE,"Staffnos &amp; cost"}</definedName>
    <definedName name="X">#REF!</definedName>
    <definedName name="xd0.6">#REF!</definedName>
    <definedName name="xd1.3">#REF!</definedName>
    <definedName name="xd1.5">#REF!</definedName>
    <definedName name="xh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n">#REF!</definedName>
    <definedName name="xx">#REF!</definedName>
    <definedName name="ZYX">#REF!</definedName>
    <definedName name="ZZZ">#REF!</definedName>
    <definedName name="もりた">#REF!</definedName>
    <definedName name="勝">#REF!</definedName>
    <definedName name="工事">#REF!</definedName>
    <definedName name="現法">#REF!</definedName>
    <definedName name="直轄">#REF!</definedName>
  </definedNames>
  <calcPr calcId="162913"/>
</workbook>
</file>

<file path=xl/calcChain.xml><?xml version="1.0" encoding="utf-8"?>
<calcChain xmlns="http://schemas.openxmlformats.org/spreadsheetml/2006/main">
  <c r="G6" i="11" l="1"/>
  <c r="G153" i="3" l="1"/>
  <c r="A5" i="7" l="1"/>
  <c r="F1" i="6"/>
  <c r="G90" i="4" l="1"/>
  <c r="G72" i="3"/>
  <c r="G113" i="3"/>
  <c r="G86" i="3"/>
  <c r="G98" i="3"/>
  <c r="G4" i="3"/>
  <c r="G51" i="3"/>
  <c r="G31" i="3"/>
  <c r="G125" i="3"/>
  <c r="G129" i="4" l="1"/>
  <c r="G8" i="4"/>
  <c r="G20" i="4" s="1"/>
  <c r="G28" i="4" s="1"/>
  <c r="G42" i="4" s="1"/>
  <c r="G54" i="4" s="1"/>
  <c r="G108" i="4"/>
  <c r="G148" i="4" l="1"/>
  <c r="F10" i="4" l="1"/>
  <c r="F5" i="6" s="1"/>
  <c r="F82" i="6" s="1"/>
  <c r="F101" i="6" s="1"/>
  <c r="F109" i="6" s="1"/>
  <c r="F115" i="6" s="1"/>
  <c r="F124" i="6" s="1"/>
  <c r="F8" i="10"/>
  <c r="F8" i="11"/>
  <c r="F6" i="3"/>
  <c r="F68" i="7"/>
  <c r="G10" i="4"/>
  <c r="G5" i="6" s="1"/>
  <c r="G82" i="6" s="1"/>
  <c r="G101" i="6" s="1"/>
  <c r="G109" i="6" s="1"/>
  <c r="G115" i="6" s="1"/>
  <c r="G124" i="6" s="1"/>
  <c r="G8" i="10"/>
  <c r="G8" i="11"/>
  <c r="G6" i="3"/>
  <c r="G68" i="7"/>
  <c r="C10" i="4"/>
  <c r="C5" i="6" s="1"/>
  <c r="C82" i="6" s="1"/>
  <c r="C101" i="6" s="1"/>
  <c r="C109" i="6" s="1"/>
  <c r="C115" i="6" s="1"/>
  <c r="C124" i="6" s="1"/>
  <c r="C8" i="11"/>
  <c r="C8" i="10"/>
  <c r="C6" i="3"/>
  <c r="C68" i="7"/>
  <c r="D8" i="10"/>
  <c r="D8" i="11"/>
  <c r="D6" i="3"/>
  <c r="D10" i="4"/>
  <c r="D5" i="6" s="1"/>
  <c r="D82" i="6" s="1"/>
  <c r="D101" i="6" s="1"/>
  <c r="D109" i="6" s="1"/>
  <c r="D115" i="6" s="1"/>
  <c r="D124" i="6" s="1"/>
  <c r="D68" i="7"/>
  <c r="F131" i="4" l="1"/>
  <c r="F247" i="3"/>
  <c r="F88" i="3"/>
  <c r="F150" i="4"/>
  <c r="F175" i="3"/>
  <c r="F110" i="4"/>
  <c r="F155" i="3"/>
  <c r="F22" i="4"/>
  <c r="F53" i="3"/>
  <c r="F56" i="4"/>
  <c r="F66" i="4"/>
  <c r="F115" i="3"/>
  <c r="F170" i="4"/>
  <c r="F127" i="3"/>
  <c r="F211" i="3"/>
  <c r="F33" i="3"/>
  <c r="F92" i="4"/>
  <c r="F30" i="4"/>
  <c r="F74" i="3"/>
  <c r="F100" i="3"/>
  <c r="F44" i="4"/>
  <c r="C92" i="4"/>
  <c r="C56" i="4"/>
  <c r="C30" i="4"/>
  <c r="C53" i="3"/>
  <c r="C211" i="3"/>
  <c r="C110" i="4"/>
  <c r="C247" i="3"/>
  <c r="C150" i="4"/>
  <c r="C22" i="4"/>
  <c r="C155" i="3"/>
  <c r="C175" i="3"/>
  <c r="C170" i="4"/>
  <c r="C131" i="4"/>
  <c r="C88" i="3"/>
  <c r="C33" i="3"/>
  <c r="C100" i="3"/>
  <c r="C66" i="4"/>
  <c r="C127" i="3"/>
  <c r="C44" i="4"/>
  <c r="C115" i="3"/>
  <c r="C74" i="3"/>
  <c r="D56" i="4"/>
  <c r="D211" i="3"/>
  <c r="D30" i="4"/>
  <c r="D22" i="4"/>
  <c r="D53" i="3"/>
  <c r="D100" i="3"/>
  <c r="D127" i="3"/>
  <c r="D131" i="4"/>
  <c r="D170" i="4"/>
  <c r="D66" i="4"/>
  <c r="D110" i="4"/>
  <c r="D44" i="4"/>
  <c r="D74" i="3"/>
  <c r="D88" i="3"/>
  <c r="D175" i="3"/>
  <c r="D155" i="3"/>
  <c r="D33" i="3"/>
  <c r="D92" i="4"/>
  <c r="D115" i="3"/>
  <c r="D247" i="3"/>
  <c r="D150" i="4"/>
  <c r="G211" i="3"/>
  <c r="G131" i="4"/>
  <c r="G115" i="3"/>
  <c r="G92" i="4"/>
  <c r="G127" i="3"/>
  <c r="G53" i="3"/>
  <c r="G33" i="3"/>
  <c r="G88" i="3"/>
  <c r="G44" i="4"/>
  <c r="G155" i="3"/>
  <c r="G66" i="4"/>
  <c r="G150" i="4"/>
  <c r="G22" i="4"/>
  <c r="G110" i="4"/>
  <c r="G100" i="3"/>
  <c r="G247" i="3"/>
  <c r="G56" i="4"/>
  <c r="G74" i="3"/>
  <c r="G30" i="4"/>
  <c r="G170" i="4"/>
  <c r="G175" i="3"/>
  <c r="E10" i="4"/>
  <c r="E5" i="6" s="1"/>
  <c r="E82" i="6" s="1"/>
  <c r="E101" i="6" s="1"/>
  <c r="E109" i="6" s="1"/>
  <c r="E115" i="6" s="1"/>
  <c r="E124" i="6" s="1"/>
  <c r="E8" i="11"/>
  <c r="E6" i="3"/>
  <c r="E8" i="10"/>
  <c r="E68" i="7"/>
  <c r="E211" i="3" l="1"/>
  <c r="E56" i="4"/>
  <c r="E66" i="4"/>
  <c r="E175" i="3"/>
  <c r="E110" i="4"/>
  <c r="E247" i="3"/>
  <c r="E127" i="3"/>
  <c r="E115" i="3"/>
  <c r="E44" i="4"/>
  <c r="E131" i="4"/>
  <c r="E33" i="3"/>
  <c r="E74" i="3"/>
  <c r="E170" i="4"/>
  <c r="E155" i="3"/>
  <c r="E22" i="4"/>
  <c r="E53" i="3"/>
  <c r="E92" i="4"/>
  <c r="E150" i="4"/>
  <c r="E88" i="3"/>
  <c r="E30" i="4"/>
  <c r="E100" i="3"/>
  <c r="C99" i="10" l="1"/>
  <c r="D99" i="10" l="1"/>
  <c r="E99" i="10" l="1"/>
  <c r="F99" i="10" l="1"/>
  <c r="G99" i="10" l="1"/>
</calcChain>
</file>

<file path=xl/sharedStrings.xml><?xml version="1.0" encoding="utf-8"?>
<sst xmlns="http://schemas.openxmlformats.org/spreadsheetml/2006/main" count="675" uniqueCount="344">
  <si>
    <t>Particulars</t>
  </si>
  <si>
    <t>Quarter Ended</t>
  </si>
  <si>
    <t>Operating Expenses</t>
  </si>
  <si>
    <t>As at</t>
  </si>
  <si>
    <t>Total revenues</t>
  </si>
  <si>
    <t>Access charges</t>
  </si>
  <si>
    <t>Licence fees, revenue share &amp; spectrum charges</t>
  </si>
  <si>
    <t>Network operations costs</t>
  </si>
  <si>
    <t>Employee costs</t>
  </si>
  <si>
    <t>Finance cost (net)</t>
  </si>
  <si>
    <t>Current tax expense</t>
  </si>
  <si>
    <t>Deferred tax expense / (income)</t>
  </si>
  <si>
    <t>Schedule</t>
  </si>
  <si>
    <t>INDEX</t>
  </si>
  <si>
    <t>Income Tax</t>
  </si>
  <si>
    <t>EBIT</t>
  </si>
  <si>
    <t>Financial Indicators</t>
  </si>
  <si>
    <t>Operational Indicators</t>
  </si>
  <si>
    <t>Operational Performance</t>
  </si>
  <si>
    <t>Parameters</t>
  </si>
  <si>
    <t>Unit</t>
  </si>
  <si>
    <t>000's</t>
  </si>
  <si>
    <t>No.</t>
  </si>
  <si>
    <t>%</t>
  </si>
  <si>
    <t>Average Revenue Per User (ARPU)</t>
  </si>
  <si>
    <t>Rs.</t>
  </si>
  <si>
    <t>Mobile Services</t>
  </si>
  <si>
    <t>Census Towns</t>
  </si>
  <si>
    <t>Population Coverage</t>
  </si>
  <si>
    <t>Optic Fibre Network</t>
  </si>
  <si>
    <t>CONSOLIDATED FINANCIAL STATEMENTS FOR PAST FIVE QUARTERS - BHARTI AIRTEL LIMITED</t>
  </si>
  <si>
    <t>Income tax expense</t>
  </si>
  <si>
    <t>Consolidated Summarised Statement of Operations (net of inter segment eliminations)</t>
  </si>
  <si>
    <t>Key Indicators</t>
  </si>
  <si>
    <t>Times</t>
  </si>
  <si>
    <t>Indus Towers</t>
  </si>
  <si>
    <t>Rs</t>
  </si>
  <si>
    <t>CONSOLIDATED FINANCIAL STATEMENTS - BHARTI AIRTEL LIMITED</t>
  </si>
  <si>
    <t>Assets</t>
  </si>
  <si>
    <t>Equity and liabilities</t>
  </si>
  <si>
    <t xml:space="preserve">Equity  </t>
  </si>
  <si>
    <t>Total equity and liabilities</t>
  </si>
  <si>
    <t>Selling, general and adminstration expense</t>
  </si>
  <si>
    <t>Net Additions</t>
  </si>
  <si>
    <t>Monthly Churn</t>
  </si>
  <si>
    <t>Nos</t>
  </si>
  <si>
    <t>Non-Census Towns &amp; Villages</t>
  </si>
  <si>
    <t>Cash flows from operating activities</t>
  </si>
  <si>
    <t xml:space="preserve">Adjustments for - </t>
  </si>
  <si>
    <t xml:space="preserve">     Other non-cash items</t>
  </si>
  <si>
    <t>Cash flows from investing activities</t>
  </si>
  <si>
    <t>Cash flows from financing activities</t>
  </si>
  <si>
    <t>R kms</t>
  </si>
  <si>
    <t>Total Customers Base</t>
  </si>
  <si>
    <t>Long term debt, net of current portion</t>
  </si>
  <si>
    <t>Short-term borrowings and current portion of long-term debt</t>
  </si>
  <si>
    <t>Less:</t>
  </si>
  <si>
    <t>Schedules to Financial Statements</t>
  </si>
  <si>
    <t>Bharti Infratel Consolidated</t>
  </si>
  <si>
    <t>Bharti Infratel Standalone</t>
  </si>
  <si>
    <t>Capex</t>
  </si>
  <si>
    <t>Operating Free Cash Flow</t>
  </si>
  <si>
    <t>Cost of good sold</t>
  </si>
  <si>
    <t>6.1 Operational Performance - INDIA</t>
  </si>
  <si>
    <t>EBITDA</t>
  </si>
  <si>
    <t xml:space="preserve">EBITDA / Total revenues </t>
  </si>
  <si>
    <t>Profit before tax</t>
  </si>
  <si>
    <t xml:space="preserve">     Interest received</t>
  </si>
  <si>
    <t xml:space="preserve">     Income tax paid</t>
  </si>
  <si>
    <t>Cumulative Investments</t>
  </si>
  <si>
    <t>Finance costs</t>
  </si>
  <si>
    <t>B2C Services</t>
  </si>
  <si>
    <t>B2B Services</t>
  </si>
  <si>
    <t>5.1.1</t>
  </si>
  <si>
    <t>5.1.2</t>
  </si>
  <si>
    <t>Digital TV Services</t>
  </si>
  <si>
    <t>Digital TV Customers</t>
  </si>
  <si>
    <t>Net additions</t>
  </si>
  <si>
    <t xml:space="preserve">Average Revenue Per User (ARPU) </t>
  </si>
  <si>
    <t>Districts Covered</t>
  </si>
  <si>
    <r>
      <t xml:space="preserve">Digital TV Services - </t>
    </r>
    <r>
      <rPr>
        <sz val="8"/>
        <rFont val="Arial"/>
        <family val="2"/>
      </rPr>
      <t>Comprises of operations of Digital TV Services.</t>
    </r>
  </si>
  <si>
    <t>Coverage</t>
  </si>
  <si>
    <t>Customer Base</t>
  </si>
  <si>
    <t>Voice</t>
  </si>
  <si>
    <t>Data</t>
  </si>
  <si>
    <t>Data Customer Base</t>
  </si>
  <si>
    <t>As % of customer base</t>
  </si>
  <si>
    <t>Total MBs on the network</t>
  </si>
  <si>
    <t>Mn</t>
  </si>
  <si>
    <t>min</t>
  </si>
  <si>
    <t>Mn MBs</t>
  </si>
  <si>
    <t>MBs</t>
  </si>
  <si>
    <t>Minutes on the network</t>
  </si>
  <si>
    <t>Data Usage per customer</t>
  </si>
  <si>
    <t>Revenue per site per month</t>
  </si>
  <si>
    <t>Voice Usage per customer</t>
  </si>
  <si>
    <t>Depreciation</t>
  </si>
  <si>
    <t>Amortization</t>
  </si>
  <si>
    <t>Interest on borrowings &amp; Finance charges</t>
  </si>
  <si>
    <t>Derivatives and exchange fluctuation</t>
  </si>
  <si>
    <t>Investment Income</t>
  </si>
  <si>
    <t>5.1.3</t>
  </si>
  <si>
    <t>Sharing Revenue per sharing operator per month</t>
  </si>
  <si>
    <t>Average Sharing Factor</t>
  </si>
  <si>
    <t>Pre-Paid (as % of total Customer Base)</t>
  </si>
  <si>
    <t>As % of Customer Base</t>
  </si>
  <si>
    <t>India</t>
  </si>
  <si>
    <t>5.3.1</t>
  </si>
  <si>
    <t>5.3.2</t>
  </si>
  <si>
    <t>In INR</t>
  </si>
  <si>
    <t>In USD</t>
  </si>
  <si>
    <t>4.1.1</t>
  </si>
  <si>
    <r>
      <t xml:space="preserve">Mobile Services India - </t>
    </r>
    <r>
      <rPr>
        <sz val="8"/>
        <rFont val="Arial"/>
        <family val="2"/>
      </rPr>
      <t>Comprises of consolidated operations of Mobile Services India</t>
    </r>
  </si>
  <si>
    <t>Africa</t>
  </si>
  <si>
    <t>Total Towers</t>
  </si>
  <si>
    <t>Total Co-locations</t>
  </si>
  <si>
    <t xml:space="preserve">     Dividend received</t>
  </si>
  <si>
    <t>Share of results of Joint Ventures / Associates</t>
  </si>
  <si>
    <t>Profit before Tax</t>
  </si>
  <si>
    <t>Net income</t>
  </si>
  <si>
    <t>Net revenue</t>
  </si>
  <si>
    <t>US</t>
  </si>
  <si>
    <t>Deferred payment liability</t>
  </si>
  <si>
    <t>4.1.1.1</t>
  </si>
  <si>
    <t>4.1.1.2</t>
  </si>
  <si>
    <t>4.1.1.3</t>
  </si>
  <si>
    <t>4.1.1.4</t>
  </si>
  <si>
    <t>4.1.1.5</t>
  </si>
  <si>
    <t>4.1.1.6</t>
  </si>
  <si>
    <t>5.3.3</t>
  </si>
  <si>
    <t>Schedule of Consolidated Net Debt</t>
  </si>
  <si>
    <t>Schedule of Consolidated Finance Cost</t>
  </si>
  <si>
    <t>Other expenses</t>
  </si>
  <si>
    <t xml:space="preserve">     Sale of tower assets</t>
  </si>
  <si>
    <t>Profit for the period</t>
  </si>
  <si>
    <t xml:space="preserve">     Net movement in current investments</t>
  </si>
  <si>
    <t xml:space="preserve">     Dividend paid (including tax)</t>
  </si>
  <si>
    <t xml:space="preserve">     Sale of interest in a subsidiary</t>
  </si>
  <si>
    <t xml:space="preserve">     Depreciation and amortisation</t>
  </si>
  <si>
    <t>Depreciation and Amortisation</t>
  </si>
  <si>
    <t>Tower Infrastructure services</t>
  </si>
  <si>
    <t>Network towers</t>
  </si>
  <si>
    <t xml:space="preserve">          Of which Mobile Broadband towers</t>
  </si>
  <si>
    <t>Total Mobile Broadband Base stations</t>
  </si>
  <si>
    <r>
      <rPr>
        <b/>
        <sz val="8"/>
        <rFont val="Arial"/>
        <family val="2"/>
      </rPr>
      <t xml:space="preserve">Airtel Business - </t>
    </r>
    <r>
      <rPr>
        <sz val="8"/>
        <rFont val="Arial"/>
        <family val="2"/>
      </rPr>
      <t>Submarine Cable System</t>
    </r>
  </si>
  <si>
    <t>[AS PER INDIAN ACCOUNTING STANDARDS (Ind-AS)]</t>
  </si>
  <si>
    <t>Consolidated Statements of Operations as per Indian Accounting Standards (Ind-AS)</t>
  </si>
  <si>
    <t>Consolidated Balance Sheet as per Indian Accounting Standards (Ind-AS)</t>
  </si>
  <si>
    <t>Consolidated Statement of Cash Flows as per Indian Accounting Standards (Ind-AS)</t>
  </si>
  <si>
    <t>Consolidated Summarised Statement of Operations as per Ind-AS (net of inter segment eliminations)</t>
  </si>
  <si>
    <t>Region and Segment wise summarised statement of operations as per Ind-AS:</t>
  </si>
  <si>
    <r>
      <t>India South Asia</t>
    </r>
    <r>
      <rPr>
        <sz val="8"/>
        <rFont val="Arial"/>
        <family val="2"/>
      </rPr>
      <t>- Summarised Statement of Operations as per Ind-AS (net of inter segment eliminations)</t>
    </r>
  </si>
  <si>
    <r>
      <t>India</t>
    </r>
    <r>
      <rPr>
        <sz val="8"/>
        <rFont val="Arial"/>
        <family val="2"/>
      </rPr>
      <t xml:space="preserve"> - Summarised Statement of Operations as per Ind-AS (net of inter segment eliminations)</t>
    </r>
  </si>
  <si>
    <t>Homes Customers</t>
  </si>
  <si>
    <t>Airtel Business</t>
  </si>
  <si>
    <t>Income</t>
  </si>
  <si>
    <t>Finance Income</t>
  </si>
  <si>
    <t>Expenses</t>
  </si>
  <si>
    <t>Access Charges</t>
  </si>
  <si>
    <t>Network operating expenses</t>
  </si>
  <si>
    <t>Other Expenses</t>
  </si>
  <si>
    <t>Profit before exceptional items and tax</t>
  </si>
  <si>
    <t>Exceptional items</t>
  </si>
  <si>
    <t>Current tax</t>
  </si>
  <si>
    <t>Non-current assets</t>
  </si>
  <si>
    <t>Investment in joint ventures and associates</t>
  </si>
  <si>
    <t>Financial Assets</t>
  </si>
  <si>
    <t>- Investments</t>
  </si>
  <si>
    <t>- Trade receivables</t>
  </si>
  <si>
    <t>- Others</t>
  </si>
  <si>
    <t>Other non-current assets</t>
  </si>
  <si>
    <t>Current assets</t>
  </si>
  <si>
    <t xml:space="preserve"> - Receivable from sale of tower assets</t>
  </si>
  <si>
    <t xml:space="preserve"> - Others</t>
  </si>
  <si>
    <t>Other current assets</t>
  </si>
  <si>
    <t>Current tax assets</t>
  </si>
  <si>
    <t>Non-current liabilities</t>
  </si>
  <si>
    <t>Financial Liabilities</t>
  </si>
  <si>
    <t>Deferred tax liabilities (net)</t>
  </si>
  <si>
    <t>Other non-current liabilities</t>
  </si>
  <si>
    <t>Current liabilities</t>
  </si>
  <si>
    <t>Other current liabilities</t>
  </si>
  <si>
    <t>Total liabilities</t>
  </si>
  <si>
    <r>
      <t xml:space="preserve">Homes Services - </t>
    </r>
    <r>
      <rPr>
        <sz val="8"/>
        <rFont val="Arial"/>
        <family val="2"/>
      </rPr>
      <t>Comprises of operations of Homes Services.</t>
    </r>
  </si>
  <si>
    <t>Homes Services</t>
  </si>
  <si>
    <r>
      <rPr>
        <b/>
        <sz val="8"/>
        <rFont val="Arial"/>
        <family val="2"/>
      </rPr>
      <t xml:space="preserve">Homes Services - </t>
    </r>
    <r>
      <rPr>
        <sz val="8"/>
        <rFont val="Arial"/>
        <family val="2"/>
      </rPr>
      <t>Cities covered</t>
    </r>
  </si>
  <si>
    <t>Interest on Finance Lease Obligation</t>
  </si>
  <si>
    <t>Employee benefits</t>
  </si>
  <si>
    <t>Depreciation and amortisation</t>
  </si>
  <si>
    <t>Consolidated Statement of Comprehensive Income</t>
  </si>
  <si>
    <t xml:space="preserve">       Gains / (Losses) on cash flow hedge</t>
  </si>
  <si>
    <t xml:space="preserve">       Re-measurement gains / (losses) on defined benefit plans</t>
  </si>
  <si>
    <t>Amount in Rs Mn, except ratios</t>
  </si>
  <si>
    <t>Consolidated Statement of Operations as per Indian Accounting Standards (Ind-AS)</t>
  </si>
  <si>
    <t>Amount in US$ Mn, except ratios</t>
  </si>
  <si>
    <t>Amount in US$ Mn</t>
  </si>
  <si>
    <t xml:space="preserve">     Interest and other finance charges paid</t>
  </si>
  <si>
    <t>Cash and Cash Equivalents</t>
  </si>
  <si>
    <t>Sales and marketing expenses</t>
  </si>
  <si>
    <t>Share of results of joint ventures and associates</t>
  </si>
  <si>
    <t xml:space="preserve"> Items to be reclassified subsequently to profit or loss :</t>
  </si>
  <si>
    <t>Items not to be reclassified to profit or loss :</t>
  </si>
  <si>
    <t>Profit for the period Attributable to:</t>
  </si>
  <si>
    <t xml:space="preserve">       Owners of the Parent</t>
  </si>
  <si>
    <t xml:space="preserve">       Non-controlling interests</t>
  </si>
  <si>
    <t>Basic</t>
  </si>
  <si>
    <t>Diluted</t>
  </si>
  <si>
    <t>Liabilities-held-for-sale</t>
  </si>
  <si>
    <t>Operating cash flow before changes in working capital</t>
  </si>
  <si>
    <t xml:space="preserve">Changes in working capital - </t>
  </si>
  <si>
    <t xml:space="preserve">     Trade receivables</t>
  </si>
  <si>
    <t xml:space="preserve">     Trade payables</t>
  </si>
  <si>
    <t>Net cash generated from operations before tax and dividend</t>
  </si>
  <si>
    <t xml:space="preserve">Net cash generated from operating activities (a) </t>
  </si>
  <si>
    <t xml:space="preserve">Net cash (used in) / generated from financing activities (c) </t>
  </si>
  <si>
    <t>Effect of exchange rate on cash and cash equivalents</t>
  </si>
  <si>
    <t>Cash and cash equivalents as at beginning of the period</t>
  </si>
  <si>
    <t xml:space="preserve">Cash and cash equivalents as at end of the period </t>
  </si>
  <si>
    <t>Other comprehensive income ('OCI'):</t>
  </si>
  <si>
    <t>Total Assets</t>
  </si>
  <si>
    <t>Equity attributable to owners of the Parent</t>
  </si>
  <si>
    <t xml:space="preserve"> - Borrowings</t>
  </si>
  <si>
    <t xml:space="preserve"> - Trade Payables</t>
  </si>
  <si>
    <t>Consolidated Statement of Cash Flows</t>
  </si>
  <si>
    <t xml:space="preserve">     Finance costs</t>
  </si>
  <si>
    <t>Net cash (used in) / generated from investing activities (b)</t>
  </si>
  <si>
    <t xml:space="preserve">Current tax liabilities (net) </t>
  </si>
  <si>
    <t>In USD:</t>
  </si>
  <si>
    <t>In USD: Constant Currency</t>
  </si>
  <si>
    <t>Other income</t>
  </si>
  <si>
    <t>License fee / spectrum charges (revenue share)</t>
  </si>
  <si>
    <t>Consolidated Summarized Statement of Income Net of Inter Segment Eliminations</t>
  </si>
  <si>
    <t>Note: Above table reflects the USD reported numbers.</t>
  </si>
  <si>
    <t>Finance Lease Obligation</t>
  </si>
  <si>
    <t>Net Debt including Finance Lease Obligations</t>
  </si>
  <si>
    <t>Tax expense</t>
  </si>
  <si>
    <t>Deferred tax</t>
  </si>
  <si>
    <t xml:space="preserve">       Gains / (losses) on net investments hedge</t>
  </si>
  <si>
    <t>Non-controlling interests ('NCI')</t>
  </si>
  <si>
    <t xml:space="preserve">       Net gains / (losses) due to foreign currency translation differences</t>
  </si>
  <si>
    <t xml:space="preserve">       Gains / (losses) on fair value through OCI investments</t>
  </si>
  <si>
    <t>5.2.1</t>
  </si>
  <si>
    <t>5.2.2</t>
  </si>
  <si>
    <t>South Asia</t>
  </si>
  <si>
    <t xml:space="preserve">Revenue </t>
  </si>
  <si>
    <t>Total</t>
  </si>
  <si>
    <t>Non-operating income / expenses, (net)</t>
  </si>
  <si>
    <t xml:space="preserve">       Tax credit / (charge) </t>
  </si>
  <si>
    <t xml:space="preserve">       Share of joint ventures and associates</t>
  </si>
  <si>
    <t>Other comprehensive income / (loss) for the period</t>
  </si>
  <si>
    <t>Total comprehensive income / (loss) for the period</t>
  </si>
  <si>
    <t xml:space="preserve"> Other comprehensive income / (loss) for the period attributable to :</t>
  </si>
  <si>
    <t>Total comprehensive income / (loss) for the period attributable to :</t>
  </si>
  <si>
    <t>Net increase / (decrease) in cash and cash equivalents during the period (a+b+c)</t>
  </si>
  <si>
    <t>Profit after tax (before exceptional items)</t>
  </si>
  <si>
    <t>Non Controlling Interest</t>
  </si>
  <si>
    <t>Net income (before exceptional items)</t>
  </si>
  <si>
    <t>Exceptional Items (net of tax)</t>
  </si>
  <si>
    <t>Profit after tax (after exceptional items)</t>
  </si>
  <si>
    <t>Profit after Tax (before exceptional items)</t>
  </si>
  <si>
    <t>Finance income</t>
  </si>
  <si>
    <t>Net Debt excluding Finance Lease Obligations</t>
  </si>
  <si>
    <r>
      <t xml:space="preserve">Africa - </t>
    </r>
    <r>
      <rPr>
        <sz val="8"/>
        <rFont val="Arial"/>
        <family val="2"/>
      </rPr>
      <t>Comprises of 14 country operations in Africa.</t>
    </r>
  </si>
  <si>
    <t>Consolidated Summarized Balance Sheet (As per Ind AS)</t>
  </si>
  <si>
    <t>Income &amp; Deferred tax assets (net)</t>
  </si>
  <si>
    <t xml:space="preserve">     Other assets and liabilities</t>
  </si>
  <si>
    <t xml:space="preserve">     Net (Purchase) / Sale of non-current investments</t>
  </si>
  <si>
    <t xml:space="preserve">     Cash acquired on business combination</t>
  </si>
  <si>
    <t xml:space="preserve">     Investment in joint venture / associate</t>
  </si>
  <si>
    <t xml:space="preserve">     Purchase of treasury shares and proceeds from exercise of share options</t>
  </si>
  <si>
    <t>Intangible assets</t>
  </si>
  <si>
    <t>Property, plant and equipment (Incl CWIP)</t>
  </si>
  <si>
    <t>- Cash and bank balance</t>
  </si>
  <si>
    <t>- Borrowings</t>
  </si>
  <si>
    <t xml:space="preserve">     Net (Purchase) / proceeds from sale of PPE</t>
  </si>
  <si>
    <t>- Bank deposits</t>
  </si>
  <si>
    <t xml:space="preserve">In INR: </t>
  </si>
  <si>
    <t xml:space="preserve">Operating Expenses (In Constant Currency) </t>
  </si>
  <si>
    <t>6.2 Operational Performance - AFRICA</t>
  </si>
  <si>
    <t>Of which 4G data customers</t>
  </si>
  <si>
    <t>Voice Revenue</t>
  </si>
  <si>
    <t xml:space="preserve">Voice Average Revenue Per User (ARPU) </t>
  </si>
  <si>
    <t>$ Mn</t>
  </si>
  <si>
    <t>US$</t>
  </si>
  <si>
    <t>Data Revenue</t>
  </si>
  <si>
    <t xml:space="preserve">Data Average Revenue Per User (ARPU) </t>
  </si>
  <si>
    <t>Airtel Money</t>
  </si>
  <si>
    <t>Transaction Value</t>
  </si>
  <si>
    <t>Transaction Value per Subs</t>
  </si>
  <si>
    <t>Airtel Money Revenue</t>
  </si>
  <si>
    <t>Active Customers</t>
  </si>
  <si>
    <t>Airtel Money ARPU</t>
  </si>
  <si>
    <t xml:space="preserve">Network &amp; coverage </t>
  </si>
  <si>
    <t>Owned towers</t>
  </si>
  <si>
    <t>Leased towers</t>
  </si>
  <si>
    <t>Revenue Per site Per Month</t>
  </si>
  <si>
    <t>US$ Mn</t>
  </si>
  <si>
    <t>Total Employees</t>
  </si>
  <si>
    <t>Number of Customers per employee</t>
  </si>
  <si>
    <t>Personnel Cost per employee per month</t>
  </si>
  <si>
    <t xml:space="preserve">Gross Revenue per employee per month </t>
  </si>
  <si>
    <t>Human Resource Analysis</t>
  </si>
  <si>
    <t xml:space="preserve">     Purchase of intangible assets, spectrum- DPL</t>
  </si>
  <si>
    <t>Right-of-use assets</t>
  </si>
  <si>
    <t>Lease liabilities</t>
  </si>
  <si>
    <t>Net Debt excluding Lease Obligations</t>
  </si>
  <si>
    <t>Net Debt including Lease Obligations</t>
  </si>
  <si>
    <t>Lease Obligation</t>
  </si>
  <si>
    <t>Investments &amp; Receivables</t>
  </si>
  <si>
    <t>Average Revenue Per User (ARPU) *</t>
  </si>
  <si>
    <t xml:space="preserve">     Interest income</t>
  </si>
  <si>
    <t xml:space="preserve">     Net fair value gain on financial instruments</t>
  </si>
  <si>
    <t>Tax related Exceptional items</t>
  </si>
  <si>
    <t>Amount in Rs Mn</t>
  </si>
  <si>
    <t xml:space="preserve">     Net gain on FVTPL investments</t>
  </si>
  <si>
    <t xml:space="preserve">     Net loss/ (gain) on derivative financial instruments</t>
  </si>
  <si>
    <t>Profit / (loss) from discontinued operation before tax</t>
  </si>
  <si>
    <t>Tax expense / (credit) of discontinued operation</t>
  </si>
  <si>
    <t>Profit for the period from discontinued operations</t>
  </si>
  <si>
    <t>Profit / (Loss) for the period</t>
  </si>
  <si>
    <t xml:space="preserve">     (Gain) / loss on deemed disposal of subsidiary</t>
  </si>
  <si>
    <t xml:space="preserve">     Proceeds from issuance of equity shares / perpetual bonds to NCI</t>
  </si>
  <si>
    <t xml:space="preserve">     Payment on Maturity forwards</t>
  </si>
  <si>
    <t>Earnings per share (Face value : Rs. 5/- each) (In Rupees) from Continuing and Discontinuing Operations</t>
  </si>
  <si>
    <t xml:space="preserve">     Purchase of shares from NCI</t>
  </si>
  <si>
    <t xml:space="preserve">     Payment of lease liabilities</t>
  </si>
  <si>
    <t xml:space="preserve">     Net (Repayments) / Proceeds from borrowings</t>
  </si>
  <si>
    <t xml:space="preserve">     Net proceeds/ (repayments) from short-term borrowings</t>
  </si>
  <si>
    <t>Depreciation and Amortisation (In Constant Currency)</t>
  </si>
  <si>
    <t xml:space="preserve">Income Tax </t>
  </si>
  <si>
    <t xml:space="preserve">     Adjustment on account of deemed disposal of subsidiary</t>
  </si>
  <si>
    <t xml:space="preserve">     Payment of bond issue/share issue expenses</t>
  </si>
  <si>
    <t xml:space="preserve">     Proceeds from issuance of Compulsorily convertible preference shares to NCI</t>
  </si>
  <si>
    <t>Total Revenues - Recasted for IUC</t>
  </si>
  <si>
    <t xml:space="preserve">Note: Pursuant to reporting changes on account of deconsolidation of Bharti Infratel Limited, the definition of India geography has changed. Refer Glossary section of the qaurterly report for more details.
</t>
  </si>
  <si>
    <t>Average Revenue Per User (ARPU) - Recasted for IUC</t>
  </si>
  <si>
    <t>Revenue per site per month - Recasted for IUC</t>
  </si>
  <si>
    <t>*Share of results of Joint Ventures/Associates includes the equity pick up of erstwhile Bharti Infratel Limited (now Indus Towers Limited) for periods represented.</t>
  </si>
  <si>
    <t>Note: Above nos have been re-instated to 31st Mar'21 closing constant currency except Capex, OFCF &amp; Cumulative Investments. Accordingly previous quarter nos. have been re-instated for like to like comparisons.</t>
  </si>
  <si>
    <t xml:space="preserve">     Proceeds from Sale of Spectrum</t>
  </si>
  <si>
    <t xml:space="preserve">     Repayment of Loan given to Joint Venture/Associate</t>
  </si>
  <si>
    <t xml:space="preserve">Profit from operating activites before depreciation, amortization and  exceptional items </t>
  </si>
  <si>
    <t xml:space="preserve">     Loan given to subsidiaries</t>
  </si>
  <si>
    <t xml:space="preserve">     Net proceeds from  issue of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</si>
</sst>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7">
    <numFmt numFmtId="6" formatCode="&quot;$&quot;#,##0_);[Red]\(&quot;$&quot;#,##0\)"/>
    <numFmt numFmtId="43" formatCode="_(* #,##0.00_);_(* \(#,##0.00\);_(* &quot;-&quot;??_);_(@_)"/>
    <numFmt numFmtId="164" formatCode="_ * #,##0_ ;_ * \-#,##0_ ;_ * &quot;-&quot;_ ;_ @_ "/>
    <numFmt numFmtId="165" formatCode="_ * #,##0.00_ ;_ * \-#,##0.00_ ;_ * &quot;-&quot;??_ ;_ @_ "/>
    <numFmt numFmtId="166" formatCode="_-&quot;$&quot;* #,##0_-;\-&quot;$&quot;* #,##0_-;_-&quot;$&quot;* &quot;-&quot;_-;_-@_-"/>
    <numFmt numFmtId="167" formatCode="_-* #,##0_-;\-* #,##0_-;_-* &quot;-&quot;_-;_-@_-"/>
    <numFmt numFmtId="168" formatCode="_-&quot;$&quot;* #,##0.00_-;\-&quot;$&quot;* #,##0.00_-;_-&quot;$&quot;* &quot;-&quot;??_-;_-@_-"/>
    <numFmt numFmtId="169" formatCode="_-* #,##0.00_-;\-* #,##0.00_-;_-* &quot;-&quot;??_-;_-@_-"/>
    <numFmt numFmtId="170" formatCode="#,##0;\(#,##0\)"/>
    <numFmt numFmtId="171" formatCode="&quot;$&quot;#,##0.0000_);\(&quot;$&quot;#,##0.0000\)"/>
    <numFmt numFmtId="172" formatCode="_(* #,##0_);_(* \(#,##0\);_(* &quot;-&quot;??_);_(@_)"/>
    <numFmt numFmtId="173" formatCode="0.0"/>
    <numFmt numFmtId="174" formatCode="0.0%"/>
    <numFmt numFmtId="175" formatCode="#,##0.0000"/>
    <numFmt numFmtId="176" formatCode="#,##0.0"/>
    <numFmt numFmtId="177" formatCode="0.000"/>
    <numFmt numFmtId="178" formatCode="_([$€-2]* #,##0.00_);_([$€-2]* \(#,##0.00\);_([$€-2]* &quot;-&quot;??_)"/>
    <numFmt numFmtId="179" formatCode="00.000"/>
    <numFmt numFmtId="180" formatCode="&quot;?&quot;#,##0;&quot;?&quot;\-#,##0"/>
    <numFmt numFmtId="181" formatCode="_ &quot;\&quot;* #,##0_ ;_ &quot;\&quot;* \-#,##0_ ;_ &quot;\&quot;* &quot;-&quot;_ ;_ @_ "/>
    <numFmt numFmtId="182" formatCode="&quot;\&quot;#,##0.00;[Red]&quot;\&quot;\-#,##0.00"/>
    <numFmt numFmtId="183" formatCode="_ &quot;\&quot;* #,##0.00_ ;_ &quot;\&quot;* \-#,##0.00_ ;_ &quot;\&quot;* &quot;-&quot;??_ ;_ @_ "/>
    <numFmt numFmtId="184" formatCode="&quot;\&quot;#,##0;[Red]&quot;\&quot;\-#,##0"/>
    <numFmt numFmtId="185" formatCode="#,##0;[Red]&quot;-&quot;#,##0"/>
    <numFmt numFmtId="186" formatCode="#,##0.00;[Red]&quot;-&quot;#,##0.00"/>
    <numFmt numFmtId="187" formatCode="\$#,##0\ ;\(\$#,##0\)"/>
    <numFmt numFmtId="188" formatCode=";;;"/>
    <numFmt numFmtId="189" formatCode="#,##0.00000"/>
    <numFmt numFmtId="190" formatCode="#,##0\ &quot;DM&quot;;\-#,##0\ &quot;DM&quot;"/>
    <numFmt numFmtId="191" formatCode="0&quot;.&quot;000%"/>
    <numFmt numFmtId="192" formatCode="&quot;￥&quot;#,##0;&quot;￥&quot;\-#,##0"/>
    <numFmt numFmtId="193" formatCode="00&quot;.&quot;000"/>
    <numFmt numFmtId="194" formatCode="#,##0.0_);\(#,##0.0\)"/>
    <numFmt numFmtId="195" formatCode="[$-409]mmm\-yy;@"/>
    <numFmt numFmtId="196" formatCode="#,##0_);\(#,##0\);#\ &quot;-&quot;??_)"/>
    <numFmt numFmtId="197" formatCode="#,##0.0000_);\(#,##0.0000\);#.0000\ &quot;-&quot;??_)"/>
    <numFmt numFmtId="198" formatCode="#,##0_);\(#,##0\);.\ &quot;-&quot;??_⴩;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Tms Rmn"/>
    </font>
    <font>
      <b/>
      <sz val="10"/>
      <color indexed="50"/>
      <name val="Arial"/>
      <family val="2"/>
    </font>
    <font>
      <b/>
      <sz val="10"/>
      <color indexed="48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7"/>
      <name val="Small Fonts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u/>
      <sz val="8"/>
      <name val="Arial"/>
      <family val="2"/>
    </font>
    <font>
      <u/>
      <sz val="8"/>
      <color indexed="12"/>
      <name val="Arial"/>
      <family val="2"/>
    </font>
    <font>
      <sz val="10"/>
      <name val="Arial"/>
      <family val="2"/>
    </font>
    <font>
      <b/>
      <i/>
      <sz val="8"/>
      <name val="Arial"/>
      <family val="2"/>
    </font>
    <font>
      <sz val="12"/>
      <name val=".VnTime"/>
      <family val="2"/>
    </font>
    <font>
      <sz val="9"/>
      <name val="ﾀﾞｯﾁ"/>
      <family val="3"/>
      <charset val="128"/>
    </font>
    <font>
      <sz val="11"/>
      <name val="??"/>
      <family val="3"/>
    </font>
    <font>
      <sz val="14"/>
      <name val="??"/>
      <family val="3"/>
    </font>
    <font>
      <sz val="12"/>
      <name val="????"/>
      <family val="2"/>
      <charset val="136"/>
    </font>
    <font>
      <sz val="12"/>
      <name val="???"/>
      <family val="3"/>
    </font>
    <font>
      <sz val="10"/>
      <name val="???"/>
      <family val="3"/>
    </font>
    <font>
      <sz val="12"/>
      <name val="Times New Roman"/>
      <family val="1"/>
    </font>
    <font>
      <sz val="12"/>
      <name val="바탕체"/>
      <family val="1"/>
      <charset val="255"/>
    </font>
    <font>
      <b/>
      <u/>
      <sz val="14"/>
      <color indexed="8"/>
      <name val=".VnBook-AntiquaH"/>
      <family val="2"/>
    </font>
    <font>
      <sz val="12"/>
      <color indexed="10"/>
      <name val=".VnArial Narrow"/>
      <family val="2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0"/>
      <name val=".VnTime"/>
      <family val="2"/>
    </font>
    <font>
      <sz val="12"/>
      <name val="±¼¸²Ã¼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9"/>
      <name val="ＭＳ ゴシック"/>
      <family val="3"/>
      <charset val="128"/>
    </font>
    <font>
      <sz val="12"/>
      <name val="µ¸¿òÃ¼"/>
      <family val="3"/>
      <charset val="129"/>
    </font>
    <font>
      <sz val="12"/>
      <name val="Helv"/>
      <family val="2"/>
    </font>
    <font>
      <b/>
      <sz val="10"/>
      <color indexed="8"/>
      <name val="Arial"/>
      <family val="2"/>
    </font>
    <font>
      <sz val="12"/>
      <name val="Arial"/>
      <family val="2"/>
    </font>
    <font>
      <sz val="13"/>
      <name val=".VnTime"/>
      <family val="2"/>
    </font>
    <font>
      <sz val="14"/>
      <name val=".VnArial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9"/>
      <name val="Arial"/>
      <family val="2"/>
    </font>
    <font>
      <sz val="11"/>
      <name val="돋움"/>
      <family val="2"/>
    </font>
    <font>
      <sz val="10"/>
      <name val="굴림체"/>
      <family val="3"/>
    </font>
    <font>
      <sz val="10"/>
      <name val="明朝"/>
      <family val="1"/>
      <charset val="128"/>
    </font>
    <font>
      <sz val="12"/>
      <name val="Courier"/>
      <family val="3"/>
    </font>
    <font>
      <sz val="10"/>
      <name val=" "/>
      <family val="1"/>
      <charset val="136"/>
    </font>
    <font>
      <b/>
      <i/>
      <sz val="7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10"/>
      <color theme="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7"/>
      <name val="Arial"/>
      <family val="2"/>
    </font>
    <font>
      <i/>
      <sz val="7"/>
      <name val="Times New Roman"/>
      <family val="1"/>
    </font>
    <font>
      <sz val="7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7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9"/>
      </top>
      <bottom/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/>
      </left>
      <right style="thin">
        <color theme="0" tint="-0.1499984740745262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9"/>
      </left>
      <right style="thin">
        <color indexed="9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indexed="22"/>
      </left>
      <right/>
      <top/>
      <bottom style="thin">
        <color theme="0" tint="-0.24994659260841701"/>
      </bottom>
      <diagonal/>
    </border>
    <border>
      <left/>
      <right style="thin">
        <color theme="0" tint="-0.14999847407452621"/>
      </right>
      <top/>
      <bottom style="thin">
        <color theme="0" tint="-0.34998626667073579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/>
      </left>
      <right style="thin">
        <color theme="0"/>
      </right>
      <top style="thin">
        <color indexed="9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 style="thin">
        <color indexed="9"/>
      </right>
      <top style="thin">
        <color theme="0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theme="0"/>
      </top>
      <bottom style="thin">
        <color indexed="9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/>
      <bottom style="thin">
        <color indexed="22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1"/>
      </bottom>
      <diagonal/>
    </border>
    <border>
      <left/>
      <right style="thin">
        <color theme="0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indexed="9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9"/>
      </right>
      <top style="thin">
        <color theme="0"/>
      </top>
      <bottom/>
      <diagonal/>
    </border>
    <border>
      <left style="thin">
        <color indexed="9"/>
      </left>
      <right/>
      <top style="thin">
        <color theme="0"/>
      </top>
      <bottom style="thin">
        <color indexed="9"/>
      </bottom>
      <diagonal/>
    </border>
    <border>
      <left/>
      <right/>
      <top style="thin">
        <color theme="0"/>
      </top>
      <bottom style="thin">
        <color indexed="9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14999847407452621"/>
      </right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indexed="9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indexed="9"/>
      </left>
      <right/>
      <top/>
      <bottom/>
      <diagonal/>
    </border>
    <border>
      <left/>
      <right style="thin">
        <color theme="0" tint="-4.9989318521683403E-2"/>
      </right>
      <top/>
      <bottom style="thin">
        <color theme="0" tint="-0.24994659260841701"/>
      </bottom>
      <diagonal/>
    </border>
    <border>
      <left style="thin">
        <color theme="0" tint="-4.9989318521683403E-2"/>
      </left>
      <right style="thin">
        <color theme="0"/>
      </right>
      <top style="double">
        <color indexed="64"/>
      </top>
      <bottom style="thin">
        <color theme="0" tint="-0.14996795556505021"/>
      </bottom>
      <diagonal/>
    </border>
  </borders>
  <cellStyleXfs count="130">
    <xf numFmtId="0" fontId="0" fillId="0" borderId="0"/>
    <xf numFmtId="178" fontId="23" fillId="0" borderId="0" applyNumberFormat="0" applyFill="0" applyBorder="0" applyAlignment="0" applyProtection="0"/>
    <xf numFmtId="178" fontId="21" fillId="0" borderId="0"/>
    <xf numFmtId="38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80" fontId="25" fillId="0" borderId="0" applyFont="0" applyFill="0" applyBorder="0" applyAlignment="0" applyProtection="0"/>
    <xf numFmtId="40" fontId="26" fillId="0" borderId="0" applyFont="0" applyFill="0" applyBorder="0" applyAlignment="0" applyProtection="0"/>
    <xf numFmtId="38" fontId="26" fillId="0" borderId="0" applyFont="0" applyFill="0" applyBorder="0" applyAlignment="0" applyProtection="0"/>
    <xf numFmtId="167" fontId="27" fillId="0" borderId="0" applyFont="0" applyFill="0" applyBorder="0" applyAlignment="0" applyProtection="0"/>
    <xf numFmtId="9" fontId="28" fillId="0" borderId="0" applyFont="0" applyFill="0" applyBorder="0" applyAlignment="0" applyProtection="0"/>
    <xf numFmtId="178" fontId="29" fillId="0" borderId="0"/>
    <xf numFmtId="178" fontId="21" fillId="0" borderId="0"/>
    <xf numFmtId="178" fontId="30" fillId="0" borderId="0"/>
    <xf numFmtId="178" fontId="21" fillId="0" borderId="0"/>
    <xf numFmtId="178" fontId="21" fillId="0" borderId="0" applyNumberFormat="0" applyFill="0" applyBorder="0" applyAlignment="0" applyProtection="0"/>
    <xf numFmtId="178" fontId="21" fillId="0" borderId="0" applyNumberFormat="0" applyFill="0" applyBorder="0" applyAlignment="0" applyProtection="0"/>
    <xf numFmtId="178" fontId="31" fillId="0" borderId="0"/>
    <xf numFmtId="178" fontId="21" fillId="0" borderId="0"/>
    <xf numFmtId="178" fontId="21" fillId="0" borderId="0" applyNumberFormat="0" applyFill="0" applyBorder="0" applyAlignment="0" applyProtection="0"/>
    <xf numFmtId="178" fontId="21" fillId="0" borderId="0"/>
    <xf numFmtId="178" fontId="21" fillId="0" borderId="0" applyNumberFormat="0" applyFill="0" applyBorder="0" applyAlignment="0" applyProtection="0"/>
    <xf numFmtId="178" fontId="3" fillId="0" borderId="0"/>
    <xf numFmtId="178" fontId="21" fillId="0" borderId="0"/>
    <xf numFmtId="178" fontId="21" fillId="0" borderId="0" applyNumberFormat="0" applyFill="0" applyBorder="0" applyAlignment="0" applyProtection="0"/>
    <xf numFmtId="178" fontId="21" fillId="0" borderId="0" applyNumberFormat="0" applyFill="0" applyBorder="0" applyAlignment="0" applyProtection="0"/>
    <xf numFmtId="178" fontId="30" fillId="0" borderId="0"/>
    <xf numFmtId="0" fontId="21" fillId="0" borderId="0"/>
    <xf numFmtId="178" fontId="32" fillId="2" borderId="0"/>
    <xf numFmtId="178" fontId="33" fillId="3" borderId="1" applyFont="0" applyFill="0" applyAlignment="0">
      <alignment vertical="center" wrapText="1"/>
    </xf>
    <xf numFmtId="178" fontId="34" fillId="2" borderId="0"/>
    <xf numFmtId="178" fontId="35" fillId="2" borderId="0"/>
    <xf numFmtId="178" fontId="36" fillId="0" borderId="0">
      <alignment wrapText="1"/>
    </xf>
    <xf numFmtId="178" fontId="37" fillId="0" borderId="0"/>
    <xf numFmtId="181" fontId="38" fillId="0" borderId="0" applyFont="0" applyFill="0" applyBorder="0" applyAlignment="0" applyProtection="0"/>
    <xf numFmtId="178" fontId="39" fillId="0" borderId="0" applyFont="0" applyFill="0" applyBorder="0" applyAlignment="0" applyProtection="0"/>
    <xf numFmtId="182" fontId="40" fillId="0" borderId="0" applyFont="0" applyFill="0" applyBorder="0" applyAlignment="0" applyProtection="0"/>
    <xf numFmtId="183" fontId="38" fillId="0" borderId="0" applyFont="0" applyFill="0" applyBorder="0" applyAlignment="0" applyProtection="0"/>
    <xf numFmtId="178" fontId="39" fillId="0" borderId="0" applyFont="0" applyFill="0" applyBorder="0" applyAlignment="0" applyProtection="0"/>
    <xf numFmtId="184" fontId="40" fillId="0" borderId="0" applyFont="0" applyFill="0" applyBorder="0" applyAlignment="0" applyProtection="0"/>
    <xf numFmtId="178" fontId="41" fillId="0" borderId="2" applyFont="0" applyFill="0" applyBorder="0" applyAlignment="0" applyProtection="0">
      <alignment horizontal="center" vertical="center"/>
    </xf>
    <xf numFmtId="164" fontId="38" fillId="0" borderId="0" applyFont="0" applyFill="0" applyBorder="0" applyAlignment="0" applyProtection="0"/>
    <xf numFmtId="178" fontId="39" fillId="0" borderId="0" applyFont="0" applyFill="0" applyBorder="0" applyAlignment="0" applyProtection="0"/>
    <xf numFmtId="185" fontId="40" fillId="0" borderId="0" applyFont="0" applyFill="0" applyBorder="0" applyAlignment="0" applyProtection="0"/>
    <xf numFmtId="165" fontId="38" fillId="0" borderId="0" applyFont="0" applyFill="0" applyBorder="0" applyAlignment="0" applyProtection="0"/>
    <xf numFmtId="178" fontId="39" fillId="0" borderId="0" applyFont="0" applyFill="0" applyBorder="0" applyAlignment="0" applyProtection="0"/>
    <xf numFmtId="186" fontId="40" fillId="0" borderId="0" applyFont="0" applyFill="0" applyBorder="0" applyAlignment="0" applyProtection="0"/>
    <xf numFmtId="176" fontId="21" fillId="0" borderId="3">
      <alignment wrapText="1"/>
      <protection locked="0"/>
    </xf>
    <xf numFmtId="0" fontId="4" fillId="0" borderId="0" applyNumberFormat="0" applyFill="0" applyBorder="0" applyAlignment="0" applyProtection="0"/>
    <xf numFmtId="178" fontId="39" fillId="0" borderId="0"/>
    <xf numFmtId="178" fontId="42" fillId="0" borderId="0"/>
    <xf numFmtId="178" fontId="39" fillId="0" borderId="0"/>
    <xf numFmtId="37" fontId="43" fillId="0" borderId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60" fillId="0" borderId="0" applyFont="0" applyFill="0" applyBorder="0" applyAlignment="0" applyProtection="0"/>
    <xf numFmtId="178" fontId="21" fillId="0" borderId="0"/>
    <xf numFmtId="3" fontId="21" fillId="0" borderId="0" applyFont="0" applyFill="0" applyBorder="0" applyAlignment="0" applyProtection="0"/>
    <xf numFmtId="170" fontId="5" fillId="0" borderId="3" applyBorder="0"/>
    <xf numFmtId="187" fontId="21" fillId="0" borderId="0" applyFont="0" applyFill="0" applyBorder="0" applyAlignment="0" applyProtection="0"/>
    <xf numFmtId="170" fontId="6" fillId="0" borderId="0">
      <protection locked="0"/>
    </xf>
    <xf numFmtId="178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70" fontId="7" fillId="0" borderId="4"/>
    <xf numFmtId="178" fontId="21" fillId="0" borderId="0" applyFont="0" applyFill="0" applyBorder="0" applyAlignment="0" applyProtection="0"/>
    <xf numFmtId="2" fontId="21" fillId="0" borderId="0" applyFont="0" applyFill="0" applyBorder="0" applyAlignment="0" applyProtection="0"/>
    <xf numFmtId="0" fontId="8" fillId="0" borderId="5" applyNumberFormat="0" applyAlignment="0" applyProtection="0">
      <alignment horizontal="left" vertical="center"/>
    </xf>
    <xf numFmtId="0" fontId="8" fillId="0" borderId="6">
      <alignment horizontal="left" vertical="center"/>
    </xf>
    <xf numFmtId="188" fontId="41" fillId="0" borderId="0" applyFont="0" applyFill="0" applyBorder="0" applyAlignment="0" applyProtection="0">
      <alignment horizontal="center" vertical="center"/>
    </xf>
    <xf numFmtId="0" fontId="9" fillId="0" borderId="0" applyNumberFormat="0" applyFill="0" applyBorder="0" applyAlignment="0" applyProtection="0">
      <alignment vertical="top"/>
      <protection locked="0"/>
    </xf>
    <xf numFmtId="178" fontId="44" fillId="4" borderId="0">
      <alignment horizontal="left"/>
    </xf>
    <xf numFmtId="178" fontId="41" fillId="0" borderId="0" applyFont="0" applyFill="0" applyBorder="0" applyProtection="0">
      <alignment horizontal="center" vertical="center"/>
    </xf>
    <xf numFmtId="178" fontId="45" fillId="0" borderId="0" applyNumberFormat="0" applyFont="0" applyFill="0" applyAlignment="0"/>
    <xf numFmtId="37" fontId="10" fillId="0" borderId="0"/>
    <xf numFmtId="178" fontId="21" fillId="0" borderId="0"/>
    <xf numFmtId="171" fontId="2" fillId="0" borderId="0"/>
    <xf numFmtId="178" fontId="21" fillId="0" borderId="0"/>
    <xf numFmtId="178" fontId="60" fillId="0" borderId="0"/>
    <xf numFmtId="0" fontId="21" fillId="0" borderId="0"/>
    <xf numFmtId="0" fontId="3" fillId="0" borderId="0"/>
    <xf numFmtId="178" fontId="3" fillId="0" borderId="0"/>
    <xf numFmtId="178" fontId="3" fillId="0" borderId="0"/>
    <xf numFmtId="178" fontId="46" fillId="0" borderId="0" applyNumberFormat="0" applyFill="0" applyBorder="0" applyAlignment="0" applyProtection="0"/>
    <xf numFmtId="178" fontId="23" fillId="0" borderId="0" applyNumberFormat="0" applyFill="0" applyBorder="0" applyAlignment="0" applyProtection="0"/>
    <xf numFmtId="40" fontId="11" fillId="5" borderId="0">
      <alignment horizontal="right"/>
    </xf>
    <xf numFmtId="0" fontId="12" fillId="5" borderId="0">
      <alignment horizontal="right"/>
    </xf>
    <xf numFmtId="0" fontId="13" fillId="5" borderId="7"/>
    <xf numFmtId="0" fontId="13" fillId="0" borderId="0" applyBorder="0">
      <alignment horizontal="centerContinuous"/>
    </xf>
    <xf numFmtId="0" fontId="14" fillId="0" borderId="0" applyBorder="0">
      <alignment horizontal="centerContinuous"/>
    </xf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178" fontId="23" fillId="0" borderId="0" applyNumberFormat="0" applyFill="0" applyBorder="0" applyAlignment="0" applyProtection="0"/>
    <xf numFmtId="178" fontId="21" fillId="6" borderId="0"/>
    <xf numFmtId="0" fontId="3" fillId="0" borderId="0"/>
    <xf numFmtId="0" fontId="3" fillId="0" borderId="0"/>
    <xf numFmtId="178" fontId="3" fillId="0" borderId="0"/>
    <xf numFmtId="178" fontId="46" fillId="0" borderId="0" applyNumberFormat="0" applyFill="0" applyBorder="0" applyAlignment="0" applyProtection="0"/>
    <xf numFmtId="175" fontId="23" fillId="0" borderId="0" applyFont="0" applyFill="0" applyBorder="0" applyAlignment="0" applyProtection="0"/>
    <xf numFmtId="189" fontId="23" fillId="0" borderId="0" applyFont="0" applyFill="0" applyBorder="0" applyAlignment="0" applyProtection="0"/>
    <xf numFmtId="178" fontId="47" fillId="0" borderId="0" applyNumberForma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30" fillId="0" borderId="0">
      <alignment vertical="center"/>
    </xf>
    <xf numFmtId="40" fontId="48" fillId="0" borderId="0" applyFont="0" applyFill="0" applyBorder="0" applyAlignment="0" applyProtection="0"/>
    <xf numFmtId="38" fontId="48" fillId="0" borderId="0" applyFont="0" applyFill="0" applyBorder="0" applyAlignment="0" applyProtection="0"/>
    <xf numFmtId="178" fontId="48" fillId="0" borderId="0" applyFont="0" applyFill="0" applyBorder="0" applyAlignment="0" applyProtection="0"/>
    <xf numFmtId="178" fontId="48" fillId="0" borderId="0" applyFont="0" applyFill="0" applyBorder="0" applyAlignment="0" applyProtection="0"/>
    <xf numFmtId="9" fontId="49" fillId="0" borderId="0" applyFont="0" applyFill="0" applyBorder="0" applyAlignment="0" applyProtection="0"/>
    <xf numFmtId="178" fontId="50" fillId="0" borderId="0"/>
    <xf numFmtId="190" fontId="52" fillId="0" borderId="0" applyFont="0" applyFill="0" applyBorder="0" applyAlignment="0" applyProtection="0"/>
    <xf numFmtId="191" fontId="52" fillId="0" borderId="0" applyFont="0" applyFill="0" applyBorder="0" applyAlignment="0" applyProtection="0"/>
    <xf numFmtId="192" fontId="52" fillId="0" borderId="0" applyFont="0" applyFill="0" applyBorder="0" applyAlignment="0" applyProtection="0"/>
    <xf numFmtId="193" fontId="52" fillId="0" borderId="0" applyFont="0" applyFill="0" applyBorder="0" applyAlignment="0" applyProtection="0"/>
    <xf numFmtId="178" fontId="53" fillId="0" borderId="0"/>
    <xf numFmtId="178" fontId="45" fillId="0" borderId="0"/>
    <xf numFmtId="167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43" fontId="21" fillId="0" borderId="0" applyFont="0" applyFill="0" applyBorder="0" applyAlignment="0" applyProtection="0"/>
    <xf numFmtId="38" fontId="54" fillId="0" borderId="0" applyFont="0" applyFill="0" applyBorder="0" applyAlignment="0" applyProtection="0"/>
    <xf numFmtId="178" fontId="21" fillId="0" borderId="0"/>
    <xf numFmtId="166" fontId="51" fillId="0" borderId="0" applyFont="0" applyFill="0" applyBorder="0" applyAlignment="0" applyProtection="0"/>
    <xf numFmtId="6" fontId="55" fillId="0" borderId="0" applyFont="0" applyFill="0" applyBorder="0" applyAlignment="0" applyProtection="0"/>
    <xf numFmtId="168" fontId="51" fillId="0" borderId="0" applyFont="0" applyFill="0" applyBorder="0" applyAlignment="0" applyProtection="0"/>
    <xf numFmtId="188" fontId="54" fillId="0" borderId="8">
      <alignment horizontal="center"/>
    </xf>
    <xf numFmtId="178" fontId="2" fillId="0" borderId="0"/>
    <xf numFmtId="178" fontId="2" fillId="0" borderId="0"/>
    <xf numFmtId="178" fontId="1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65">
    <xf numFmtId="0" fontId="0" fillId="0" borderId="0" xfId="0"/>
    <xf numFmtId="0" fontId="15" fillId="5" borderId="0" xfId="0" applyFont="1" applyFill="1" applyBorder="1"/>
    <xf numFmtId="0" fontId="16" fillId="5" borderId="0" xfId="0" applyFont="1" applyFill="1" applyBorder="1"/>
    <xf numFmtId="0" fontId="17" fillId="5" borderId="0" xfId="0" applyFont="1" applyFill="1" applyBorder="1" applyAlignment="1">
      <alignment horizontal="right"/>
    </xf>
    <xf numFmtId="37" fontId="15" fillId="5" borderId="0" xfId="0" applyNumberFormat="1" applyFont="1" applyFill="1" applyBorder="1" applyAlignment="1">
      <alignment horizontal="center" vertical="center"/>
    </xf>
    <xf numFmtId="37" fontId="16" fillId="5" borderId="0" xfId="0" applyNumberFormat="1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wrapText="1"/>
    </xf>
    <xf numFmtId="0" fontId="15" fillId="5" borderId="9" xfId="0" applyFont="1" applyFill="1" applyBorder="1"/>
    <xf numFmtId="0" fontId="16" fillId="5" borderId="0" xfId="80" applyFont="1" applyFill="1" applyBorder="1" applyAlignment="1">
      <alignment horizontal="center" vertical="center"/>
    </xf>
    <xf numFmtId="174" fontId="15" fillId="5" borderId="0" xfId="90" applyNumberFormat="1" applyFont="1" applyFill="1" applyBorder="1" applyAlignment="1">
      <alignment horizontal="center" vertical="center"/>
    </xf>
    <xf numFmtId="177" fontId="16" fillId="5" borderId="0" xfId="0" applyNumberFormat="1" applyFont="1" applyFill="1" applyBorder="1"/>
    <xf numFmtId="0" fontId="16" fillId="5" borderId="0" xfId="0" applyFont="1" applyFill="1"/>
    <xf numFmtId="0" fontId="15" fillId="5" borderId="0" xfId="0" applyFont="1" applyFill="1"/>
    <xf numFmtId="0" fontId="19" fillId="5" borderId="0" xfId="0" applyFont="1" applyFill="1"/>
    <xf numFmtId="173" fontId="15" fillId="5" borderId="0" xfId="0" applyNumberFormat="1" applyFont="1" applyFill="1" applyAlignment="1">
      <alignment horizontal="center"/>
    </xf>
    <xf numFmtId="0" fontId="20" fillId="5" borderId="0" xfId="70" applyFont="1" applyFill="1" applyAlignment="1" applyProtection="1"/>
    <xf numFmtId="0" fontId="15" fillId="5" borderId="0" xfId="0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18" fillId="5" borderId="0" xfId="0" applyFont="1" applyFill="1" applyBorder="1"/>
    <xf numFmtId="2" fontId="15" fillId="5" borderId="0" xfId="0" applyNumberFormat="1" applyFont="1" applyFill="1" applyBorder="1" applyAlignment="1">
      <alignment horizontal="center"/>
    </xf>
    <xf numFmtId="2" fontId="16" fillId="5" borderId="0" xfId="0" applyNumberFormat="1" applyFont="1" applyFill="1" applyBorder="1"/>
    <xf numFmtId="0" fontId="15" fillId="5" borderId="0" xfId="0" applyFont="1" applyFill="1" applyAlignment="1">
      <alignment horizontal="left"/>
    </xf>
    <xf numFmtId="0" fontId="15" fillId="0" borderId="0" xfId="0" applyFont="1" applyFill="1" applyBorder="1"/>
    <xf numFmtId="37" fontId="16" fillId="5" borderId="0" xfId="0" applyNumberFormat="1" applyFont="1" applyFill="1" applyBorder="1" applyAlignment="1">
      <alignment horizontal="center"/>
    </xf>
    <xf numFmtId="0" fontId="15" fillId="0" borderId="0" xfId="0" applyFont="1" applyFill="1"/>
    <xf numFmtId="0" fontId="16" fillId="0" borderId="10" xfId="0" applyFont="1" applyFill="1" applyBorder="1" applyAlignment="1">
      <alignment horizontal="center"/>
    </xf>
    <xf numFmtId="0" fontId="15" fillId="5" borderId="0" xfId="0" applyFont="1" applyFill="1" applyBorder="1" applyAlignment="1">
      <alignment horizontal="center"/>
    </xf>
    <xf numFmtId="0" fontId="16" fillId="5" borderId="0" xfId="0" applyFont="1" applyFill="1" applyBorder="1" applyAlignment="1">
      <alignment horizontal="center"/>
    </xf>
    <xf numFmtId="0" fontId="16" fillId="0" borderId="0" xfId="0" applyFont="1" applyFill="1"/>
    <xf numFmtId="0" fontId="16" fillId="0" borderId="1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17" fillId="5" borderId="0" xfId="0" applyFont="1" applyFill="1" applyBorder="1"/>
    <xf numFmtId="0" fontId="16" fillId="0" borderId="0" xfId="0" applyFont="1" applyFill="1" applyBorder="1"/>
    <xf numFmtId="2" fontId="17" fillId="5" borderId="0" xfId="0" applyNumberFormat="1" applyFont="1" applyFill="1" applyBorder="1"/>
    <xf numFmtId="0" fontId="16" fillId="0" borderId="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18" fillId="0" borderId="0" xfId="0" applyFont="1" applyFill="1" applyBorder="1"/>
    <xf numFmtId="37" fontId="16" fillId="8" borderId="12" xfId="0" applyNumberFormat="1" applyFont="1" applyFill="1" applyBorder="1" applyAlignment="1">
      <alignment horizontal="center" vertical="center"/>
    </xf>
    <xf numFmtId="37" fontId="16" fillId="8" borderId="13" xfId="0" applyNumberFormat="1" applyFont="1" applyFill="1" applyBorder="1" applyAlignment="1">
      <alignment horizontal="center" vertical="center"/>
    </xf>
    <xf numFmtId="0" fontId="3" fillId="5" borderId="0" xfId="0" applyFont="1" applyFill="1" applyBorder="1"/>
    <xf numFmtId="0" fontId="15" fillId="0" borderId="0" xfId="0" applyFont="1" applyFill="1" applyBorder="1" applyAlignment="1">
      <alignment horizontal="center"/>
    </xf>
    <xf numFmtId="0" fontId="16" fillId="8" borderId="0" xfId="0" applyFont="1" applyFill="1" applyBorder="1"/>
    <xf numFmtId="178" fontId="15" fillId="0" borderId="0" xfId="82" applyFont="1" applyFill="1" applyBorder="1" applyAlignment="1" applyProtection="1">
      <alignment horizontal="left" vertical="center"/>
    </xf>
    <xf numFmtId="178" fontId="3" fillId="0" borderId="0" xfId="77" applyFont="1"/>
    <xf numFmtId="172" fontId="3" fillId="0" borderId="0" xfId="54" applyNumberFormat="1" applyFont="1" applyBorder="1"/>
    <xf numFmtId="178" fontId="15" fillId="0" borderId="0" xfId="77" applyFont="1" applyBorder="1"/>
    <xf numFmtId="178" fontId="3" fillId="0" borderId="0" xfId="77" applyFont="1" applyBorder="1"/>
    <xf numFmtId="37" fontId="3" fillId="0" borderId="0" xfId="55" applyNumberFormat="1" applyFont="1" applyFill="1" applyBorder="1" applyAlignment="1">
      <alignment horizontal="center" vertical="center"/>
    </xf>
    <xf numFmtId="37" fontId="3" fillId="0" borderId="0" xfId="55" applyNumberFormat="1" applyFont="1" applyBorder="1" applyAlignment="1">
      <alignment horizontal="center" vertical="center"/>
    </xf>
    <xf numFmtId="178" fontId="15" fillId="0" borderId="0" xfId="77" applyFont="1"/>
    <xf numFmtId="0" fontId="3" fillId="5" borderId="0" xfId="54" applyNumberFormat="1" applyFont="1" applyFill="1" applyBorder="1" applyAlignment="1" applyProtection="1">
      <alignment horizontal="left" vertical="center" wrapText="1"/>
      <protection locked="0"/>
    </xf>
    <xf numFmtId="0" fontId="3" fillId="0" borderId="0" xfId="54" applyNumberFormat="1" applyFont="1" applyFill="1" applyBorder="1" applyAlignment="1" applyProtection="1">
      <alignment horizontal="left" vertical="center" wrapText="1"/>
      <protection locked="0"/>
    </xf>
    <xf numFmtId="0" fontId="3" fillId="5" borderId="21" xfId="0" applyFont="1" applyFill="1" applyBorder="1"/>
    <xf numFmtId="0" fontId="62" fillId="0" borderId="0" xfId="0" applyFont="1" applyFill="1" applyAlignment="1">
      <alignment horizontal="center"/>
    </xf>
    <xf numFmtId="0" fontId="3" fillId="0" borderId="0" xfId="0" applyFont="1" applyFill="1"/>
    <xf numFmtId="0" fontId="3" fillId="0" borderId="21" xfId="0" applyFont="1" applyFill="1" applyBorder="1"/>
    <xf numFmtId="0" fontId="15" fillId="5" borderId="21" xfId="0" applyFont="1" applyFill="1" applyBorder="1"/>
    <xf numFmtId="0" fontId="15" fillId="5" borderId="22" xfId="0" applyFont="1" applyFill="1" applyBorder="1"/>
    <xf numFmtId="0" fontId="3" fillId="5" borderId="0" xfId="0" applyFont="1" applyFill="1" applyBorder="1" applyAlignment="1">
      <alignment horizontal="center"/>
    </xf>
    <xf numFmtId="0" fontId="15" fillId="5" borderId="23" xfId="0" applyFont="1" applyFill="1" applyBorder="1" applyAlignment="1">
      <alignment horizontal="center"/>
    </xf>
    <xf numFmtId="178" fontId="15" fillId="0" borderId="24" xfId="81" applyFont="1" applyFill="1" applyBorder="1" applyAlignment="1"/>
    <xf numFmtId="178" fontId="15" fillId="0" borderId="0" xfId="81" applyFont="1" applyFill="1" applyBorder="1" applyAlignment="1"/>
    <xf numFmtId="178" fontId="3" fillId="0" borderId="0" xfId="81" applyFont="1" applyFill="1" applyBorder="1" applyAlignment="1"/>
    <xf numFmtId="178" fontId="22" fillId="0" borderId="0" xfId="96" applyFont="1" applyFill="1" applyBorder="1" applyAlignment="1">
      <alignment horizontal="left"/>
    </xf>
    <xf numFmtId="178" fontId="3" fillId="0" borderId="0" xfId="81" applyFont="1" applyFill="1" applyBorder="1" applyAlignment="1">
      <alignment horizontal="left"/>
    </xf>
    <xf numFmtId="178" fontId="3" fillId="0" borderId="0" xfId="96" applyFont="1" applyFill="1" applyBorder="1" applyAlignment="1">
      <alignment horizontal="left"/>
    </xf>
    <xf numFmtId="178" fontId="15" fillId="0" borderId="0" xfId="81" applyFont="1" applyFill="1" applyBorder="1" applyAlignment="1">
      <alignment horizontal="left"/>
    </xf>
    <xf numFmtId="178" fontId="3" fillId="0" borderId="0" xfId="96" applyFont="1" applyBorder="1" applyAlignment="1">
      <alignment horizontal="left"/>
    </xf>
    <xf numFmtId="178" fontId="15" fillId="0" borderId="0" xfId="96" applyFont="1" applyFill="1" applyBorder="1" applyAlignment="1">
      <alignment horizontal="left"/>
    </xf>
    <xf numFmtId="0" fontId="0" fillId="0" borderId="0" xfId="0" applyFill="1" applyBorder="1"/>
    <xf numFmtId="0" fontId="15" fillId="5" borderId="26" xfId="0" applyFont="1" applyFill="1" applyBorder="1"/>
    <xf numFmtId="0" fontId="3" fillId="5" borderId="27" xfId="0" applyFont="1" applyFill="1" applyBorder="1"/>
    <xf numFmtId="0" fontId="15" fillId="0" borderId="27" xfId="0" applyFont="1" applyFill="1" applyBorder="1"/>
    <xf numFmtId="0" fontId="3" fillId="5" borderId="28" xfId="80" applyFont="1" applyFill="1" applyBorder="1" applyAlignment="1" applyProtection="1">
      <alignment horizontal="left" vertical="center" indent="1"/>
    </xf>
    <xf numFmtId="0" fontId="3" fillId="5" borderId="28" xfId="80" applyFont="1" applyFill="1" applyBorder="1" applyAlignment="1" applyProtection="1">
      <alignment horizontal="left" vertical="center" wrapText="1" indent="1"/>
    </xf>
    <xf numFmtId="0" fontId="15" fillId="5" borderId="28" xfId="80" applyFont="1" applyFill="1" applyBorder="1" applyAlignment="1" applyProtection="1">
      <alignment horizontal="left" vertical="center" indent="1"/>
    </xf>
    <xf numFmtId="0" fontId="3" fillId="5" borderId="0" xfId="0" applyFont="1" applyFill="1"/>
    <xf numFmtId="0" fontId="3" fillId="5" borderId="0" xfId="0" applyFont="1" applyFill="1" applyBorder="1" applyAlignment="1">
      <alignment wrapText="1"/>
    </xf>
    <xf numFmtId="0" fontId="3" fillId="5" borderId="9" xfId="0" applyFont="1" applyFill="1" applyBorder="1" applyAlignment="1">
      <alignment wrapText="1"/>
    </xf>
    <xf numFmtId="37" fontId="3" fillId="8" borderId="15" xfId="0" applyNumberFormat="1" applyFont="1" applyFill="1" applyBorder="1" applyAlignment="1">
      <alignment horizontal="center"/>
    </xf>
    <xf numFmtId="0" fontId="3" fillId="0" borderId="0" xfId="0" applyFont="1" applyFill="1" applyBorder="1"/>
    <xf numFmtId="0" fontId="16" fillId="5" borderId="29" xfId="0" applyFont="1" applyFill="1" applyBorder="1"/>
    <xf numFmtId="37" fontId="3" fillId="0" borderId="0" xfId="77" applyNumberFormat="1" applyFont="1"/>
    <xf numFmtId="37" fontId="15" fillId="0" borderId="0" xfId="77" applyNumberFormat="1" applyFont="1"/>
    <xf numFmtId="37" fontId="16" fillId="5" borderId="0" xfId="0" applyNumberFormat="1" applyFont="1" applyFill="1" applyBorder="1"/>
    <xf numFmtId="37" fontId="0" fillId="0" borderId="0" xfId="0" applyNumberFormat="1" applyFill="1"/>
    <xf numFmtId="0" fontId="15" fillId="0" borderId="0" xfId="94" applyFont="1" applyFill="1" applyBorder="1" applyAlignment="1">
      <alignment horizontal="left" vertical="center" wrapText="1"/>
    </xf>
    <xf numFmtId="0" fontId="3" fillId="0" borderId="0" xfId="81" applyNumberFormat="1" applyFont="1" applyFill="1" applyAlignment="1">
      <alignment horizontal="left"/>
    </xf>
    <xf numFmtId="3" fontId="3" fillId="8" borderId="12" xfId="0" applyNumberFormat="1" applyFont="1" applyFill="1" applyBorder="1" applyAlignment="1">
      <alignment horizontal="center"/>
    </xf>
    <xf numFmtId="0" fontId="3" fillId="5" borderId="31" xfId="0" applyFont="1" applyFill="1" applyBorder="1" applyAlignment="1">
      <alignment wrapText="1"/>
    </xf>
    <xf numFmtId="37" fontId="3" fillId="8" borderId="12" xfId="0" applyNumberFormat="1" applyFont="1" applyFill="1" applyBorder="1" applyAlignment="1">
      <alignment horizontal="center"/>
    </xf>
    <xf numFmtId="3" fontId="3" fillId="8" borderId="32" xfId="0" applyNumberFormat="1" applyFont="1" applyFill="1" applyBorder="1" applyAlignment="1">
      <alignment horizontal="center"/>
    </xf>
    <xf numFmtId="37" fontId="16" fillId="8" borderId="13" xfId="0" applyNumberFormat="1" applyFont="1" applyFill="1" applyBorder="1" applyAlignment="1">
      <alignment horizontal="center"/>
    </xf>
    <xf numFmtId="37" fontId="16" fillId="8" borderId="12" xfId="0" applyNumberFormat="1" applyFont="1" applyFill="1" applyBorder="1" applyAlignment="1">
      <alignment horizontal="center"/>
    </xf>
    <xf numFmtId="0" fontId="3" fillId="5" borderId="25" xfId="54" applyNumberFormat="1" applyFont="1" applyFill="1" applyBorder="1" applyAlignment="1" applyProtection="1">
      <alignment horizontal="left" vertical="center" wrapText="1"/>
      <protection locked="0"/>
    </xf>
    <xf numFmtId="172" fontId="15" fillId="0" borderId="0" xfId="54" applyNumberFormat="1" applyFont="1" applyFill="1" applyBorder="1" applyAlignment="1">
      <alignment horizontal="left" indent="1"/>
    </xf>
    <xf numFmtId="178" fontId="3" fillId="0" borderId="0" xfId="77" applyFont="1" applyAlignment="1">
      <alignment horizontal="center"/>
    </xf>
    <xf numFmtId="0" fontId="18" fillId="0" borderId="0" xfId="54" applyNumberFormat="1" applyFont="1" applyFill="1" applyBorder="1" applyAlignment="1" applyProtection="1">
      <alignment horizontal="left" vertical="center" wrapText="1"/>
      <protection locked="0"/>
    </xf>
    <xf numFmtId="0" fontId="19" fillId="5" borderId="0" xfId="0" applyFont="1" applyFill="1" applyBorder="1"/>
    <xf numFmtId="0" fontId="18" fillId="5" borderId="0" xfId="0" applyFont="1" applyFill="1" applyBorder="1" applyAlignment="1">
      <alignment wrapText="1"/>
    </xf>
    <xf numFmtId="174" fontId="18" fillId="8" borderId="12" xfId="90" applyNumberFormat="1" applyFont="1" applyFill="1" applyBorder="1" applyAlignment="1">
      <alignment horizontal="center" vertical="center"/>
    </xf>
    <xf numFmtId="174" fontId="18" fillId="8" borderId="12" xfId="0" applyNumberFormat="1" applyFont="1" applyFill="1" applyBorder="1" applyAlignment="1">
      <alignment horizontal="center" vertical="center"/>
    </xf>
    <xf numFmtId="0" fontId="16" fillId="0" borderId="14" xfId="0" applyFont="1" applyFill="1" applyBorder="1"/>
    <xf numFmtId="0" fontId="15" fillId="0" borderId="21" xfId="0" applyFont="1" applyFill="1" applyBorder="1"/>
    <xf numFmtId="43" fontId="3" fillId="5" borderId="11" xfId="54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/>
    </xf>
    <xf numFmtId="0" fontId="3" fillId="0" borderId="33" xfId="0" applyFont="1" applyFill="1" applyBorder="1"/>
    <xf numFmtId="0" fontId="3" fillId="5" borderId="34" xfId="0" applyFont="1" applyFill="1" applyBorder="1" applyAlignment="1">
      <alignment horizontal="center"/>
    </xf>
    <xf numFmtId="0" fontId="3" fillId="5" borderId="35" xfId="0" applyFont="1" applyFill="1" applyBorder="1"/>
    <xf numFmtId="0" fontId="3" fillId="5" borderId="31" xfId="0" applyFont="1" applyFill="1" applyBorder="1" applyAlignment="1">
      <alignment horizontal="center"/>
    </xf>
    <xf numFmtId="37" fontId="0" fillId="0" borderId="0" xfId="0" applyNumberFormat="1" applyFill="1" applyAlignment="1">
      <alignment horizontal="center"/>
    </xf>
    <xf numFmtId="0" fontId="57" fillId="0" borderId="0" xfId="0" applyFont="1" applyFill="1" applyBorder="1"/>
    <xf numFmtId="0" fontId="17" fillId="0" borderId="0" xfId="0" applyFont="1" applyFill="1" applyBorder="1" applyAlignment="1">
      <alignment horizontal="right"/>
    </xf>
    <xf numFmtId="177" fontId="16" fillId="0" borderId="0" xfId="0" applyNumberFormat="1" applyFont="1" applyFill="1" applyBorder="1"/>
    <xf numFmtId="0" fontId="3" fillId="7" borderId="0" xfId="0" applyFont="1" applyFill="1"/>
    <xf numFmtId="0" fontId="3" fillId="5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2" fillId="7" borderId="0" xfId="0" applyFont="1" applyFill="1" applyAlignment="1">
      <alignment horizontal="left" indent="1"/>
    </xf>
    <xf numFmtId="0" fontId="3" fillId="5" borderId="21" xfId="0" applyFont="1" applyFill="1" applyBorder="1" applyAlignment="1">
      <alignment horizontal="left" indent="2"/>
    </xf>
    <xf numFmtId="0" fontId="22" fillId="7" borderId="0" xfId="0" applyFont="1" applyFill="1" applyAlignment="1">
      <alignment horizontal="left"/>
    </xf>
    <xf numFmtId="0" fontId="3" fillId="7" borderId="0" xfId="0" applyFont="1" applyFill="1" applyAlignment="1">
      <alignment horizontal="left" indent="2"/>
    </xf>
    <xf numFmtId="0" fontId="3" fillId="5" borderId="0" xfId="0" applyFont="1" applyFill="1" applyBorder="1" applyAlignment="1">
      <alignment horizontal="left" indent="2"/>
    </xf>
    <xf numFmtId="0" fontId="17" fillId="5" borderId="0" xfId="0" applyFont="1" applyFill="1" applyBorder="1" applyAlignment="1">
      <alignment horizontal="left" indent="2"/>
    </xf>
    <xf numFmtId="0" fontId="17" fillId="5" borderId="0" xfId="0" applyFont="1" applyFill="1" applyBorder="1" applyAlignment="1">
      <alignment horizontal="left" indent="5"/>
    </xf>
    <xf numFmtId="0" fontId="3" fillId="5" borderId="0" xfId="0" applyFont="1" applyFill="1" applyAlignment="1">
      <alignment horizontal="left" indent="2"/>
    </xf>
    <xf numFmtId="0" fontId="3" fillId="5" borderId="36" xfId="0" applyFont="1" applyFill="1" applyBorder="1" applyAlignment="1">
      <alignment horizontal="center"/>
    </xf>
    <xf numFmtId="0" fontId="3" fillId="7" borderId="37" xfId="0" applyFont="1" applyFill="1" applyBorder="1" applyAlignment="1">
      <alignment horizontal="left" indent="2"/>
    </xf>
    <xf numFmtId="0" fontId="3" fillId="5" borderId="11" xfId="0" applyFont="1" applyFill="1" applyBorder="1" applyAlignment="1">
      <alignment horizontal="center" vertical="center"/>
    </xf>
    <xf numFmtId="0" fontId="58" fillId="0" borderId="0" xfId="0" applyFont="1" applyFill="1"/>
    <xf numFmtId="37" fontId="58" fillId="0" borderId="0" xfId="0" applyNumberFormat="1" applyFont="1" applyFill="1"/>
    <xf numFmtId="0" fontId="17" fillId="5" borderId="21" xfId="0" applyFont="1" applyFill="1" applyBorder="1"/>
    <xf numFmtId="0" fontId="59" fillId="0" borderId="0" xfId="0" applyFont="1" applyFill="1"/>
    <xf numFmtId="37" fontId="59" fillId="0" borderId="0" xfId="0" applyNumberFormat="1" applyFont="1" applyFill="1"/>
    <xf numFmtId="0" fontId="3" fillId="0" borderId="31" xfId="0" applyFont="1" applyFill="1" applyBorder="1" applyAlignment="1">
      <alignment wrapText="1"/>
    </xf>
    <xf numFmtId="37" fontId="3" fillId="0" borderId="12" xfId="0" applyNumberFormat="1" applyFont="1" applyFill="1" applyBorder="1" applyAlignment="1">
      <alignment horizontal="center"/>
    </xf>
    <xf numFmtId="37" fontId="3" fillId="5" borderId="0" xfId="0" applyNumberFormat="1" applyFont="1" applyFill="1" applyBorder="1"/>
    <xf numFmtId="37" fontId="16" fillId="0" borderId="12" xfId="0" applyNumberFormat="1" applyFont="1" applyFill="1" applyBorder="1" applyAlignment="1">
      <alignment horizontal="center" vertical="center"/>
    </xf>
    <xf numFmtId="37" fontId="16" fillId="0" borderId="13" xfId="0" applyNumberFormat="1" applyFont="1" applyFill="1" applyBorder="1" applyAlignment="1">
      <alignment horizontal="center" vertical="center"/>
    </xf>
    <xf numFmtId="0" fontId="17" fillId="0" borderId="0" xfId="0" applyFont="1" applyFill="1"/>
    <xf numFmtId="37" fontId="15" fillId="8" borderId="38" xfId="53" applyNumberFormat="1" applyFont="1" applyFill="1" applyBorder="1" applyAlignment="1">
      <alignment horizontal="center"/>
    </xf>
    <xf numFmtId="37" fontId="15" fillId="8" borderId="39" xfId="0" applyNumberFormat="1" applyFont="1" applyFill="1" applyBorder="1" applyAlignment="1">
      <alignment horizontal="center"/>
    </xf>
    <xf numFmtId="37" fontId="3" fillId="8" borderId="39" xfId="0" applyNumberFormat="1" applyFont="1" applyFill="1" applyBorder="1" applyAlignment="1">
      <alignment horizontal="center"/>
    </xf>
    <xf numFmtId="174" fontId="3" fillId="8" borderId="39" xfId="90" applyNumberFormat="1" applyFont="1" applyFill="1" applyBorder="1" applyAlignment="1">
      <alignment horizontal="center"/>
    </xf>
    <xf numFmtId="174" fontId="3" fillId="8" borderId="39" xfId="0" applyNumberFormat="1" applyFont="1" applyFill="1" applyBorder="1" applyAlignment="1">
      <alignment horizontal="center" vertical="center"/>
    </xf>
    <xf numFmtId="173" fontId="3" fillId="8" borderId="39" xfId="0" applyNumberFormat="1" applyFont="1" applyFill="1" applyBorder="1" applyAlignment="1">
      <alignment horizontal="center" vertical="center"/>
    </xf>
    <xf numFmtId="194" fontId="3" fillId="8" borderId="39" xfId="0" applyNumberFormat="1" applyFont="1" applyFill="1" applyBorder="1" applyAlignment="1">
      <alignment horizontal="center"/>
    </xf>
    <xf numFmtId="1" fontId="3" fillId="8" borderId="39" xfId="0" applyNumberFormat="1" applyFont="1" applyFill="1" applyBorder="1" applyAlignment="1">
      <alignment horizontal="center" vertical="center"/>
    </xf>
    <xf numFmtId="174" fontId="3" fillId="8" borderId="39" xfId="90" applyNumberFormat="1" applyFont="1" applyFill="1" applyBorder="1" applyAlignment="1">
      <alignment horizontal="center" vertical="center"/>
    </xf>
    <xf numFmtId="174" fontId="3" fillId="8" borderId="39" xfId="0" applyNumberFormat="1" applyFont="1" applyFill="1" applyBorder="1" applyAlignment="1">
      <alignment horizontal="center"/>
    </xf>
    <xf numFmtId="37" fontId="3" fillId="8" borderId="39" xfId="53" applyNumberFormat="1" applyFont="1" applyFill="1" applyBorder="1" applyAlignment="1">
      <alignment horizontal="center"/>
    </xf>
    <xf numFmtId="37" fontId="17" fillId="8" borderId="39" xfId="53" applyNumberFormat="1" applyFont="1" applyFill="1" applyBorder="1" applyAlignment="1">
      <alignment horizontal="center"/>
    </xf>
    <xf numFmtId="174" fontId="17" fillId="8" borderId="39" xfId="90" applyNumberFormat="1" applyFont="1" applyFill="1" applyBorder="1" applyAlignment="1">
      <alignment horizontal="center"/>
    </xf>
    <xf numFmtId="0" fontId="16" fillId="0" borderId="16" xfId="0" applyFont="1" applyFill="1" applyBorder="1" applyAlignment="1">
      <alignment horizontal="center"/>
    </xf>
    <xf numFmtId="43" fontId="15" fillId="0" borderId="11" xfId="0" applyNumberFormat="1" applyFont="1" applyFill="1" applyBorder="1" applyAlignment="1">
      <alignment horizontal="center"/>
    </xf>
    <xf numFmtId="0" fontId="17" fillId="0" borderId="11" xfId="0" applyFont="1" applyFill="1" applyBorder="1" applyAlignment="1">
      <alignment horizontal="center"/>
    </xf>
    <xf numFmtId="37" fontId="15" fillId="0" borderId="38" xfId="53" applyNumberFormat="1" applyFont="1" applyFill="1" applyBorder="1" applyAlignment="1">
      <alignment horizontal="center"/>
    </xf>
    <xf numFmtId="37" fontId="17" fillId="8" borderId="39" xfId="0" applyNumberFormat="1" applyFont="1" applyFill="1" applyBorder="1" applyAlignment="1">
      <alignment horizontal="center"/>
    </xf>
    <xf numFmtId="37" fontId="3" fillId="0" borderId="39" xfId="53" applyNumberFormat="1" applyFont="1" applyFill="1" applyBorder="1" applyAlignment="1">
      <alignment horizontal="center"/>
    </xf>
    <xf numFmtId="37" fontId="17" fillId="0" borderId="39" xfId="53" applyNumberFormat="1" applyFont="1" applyFill="1" applyBorder="1" applyAlignment="1">
      <alignment horizontal="center"/>
    </xf>
    <xf numFmtId="174" fontId="3" fillId="0" borderId="39" xfId="90" applyNumberFormat="1" applyFont="1" applyFill="1" applyBorder="1" applyAlignment="1">
      <alignment horizontal="center"/>
    </xf>
    <xf numFmtId="194" fontId="3" fillId="0" borderId="39" xfId="0" applyNumberFormat="1" applyFont="1" applyFill="1" applyBorder="1" applyAlignment="1">
      <alignment horizontal="center"/>
    </xf>
    <xf numFmtId="37" fontId="3" fillId="0" borderId="39" xfId="0" applyNumberFormat="1" applyFont="1" applyFill="1" applyBorder="1" applyAlignment="1">
      <alignment horizontal="center"/>
    </xf>
    <xf numFmtId="174" fontId="3" fillId="8" borderId="39" xfId="91" applyNumberFormat="1" applyFont="1" applyFill="1" applyBorder="1" applyAlignment="1">
      <alignment horizontal="center" vertical="center"/>
    </xf>
    <xf numFmtId="174" fontId="3" fillId="8" borderId="39" xfId="91" applyNumberFormat="1" applyFont="1" applyFill="1" applyBorder="1" applyAlignment="1">
      <alignment horizontal="center"/>
    </xf>
    <xf numFmtId="37" fontId="15" fillId="8" borderId="39" xfId="53" applyNumberFormat="1" applyFont="1" applyFill="1" applyBorder="1" applyAlignment="1">
      <alignment horizontal="center"/>
    </xf>
    <xf numFmtId="37" fontId="15" fillId="0" borderId="39" xfId="53" applyNumberFormat="1" applyFont="1" applyFill="1" applyBorder="1" applyAlignment="1">
      <alignment horizontal="center"/>
    </xf>
    <xf numFmtId="0" fontId="16" fillId="8" borderId="41" xfId="0" applyFont="1" applyFill="1" applyBorder="1" applyAlignment="1">
      <alignment horizontal="center" vertical="center" wrapText="1"/>
    </xf>
    <xf numFmtId="0" fontId="16" fillId="8" borderId="42" xfId="0" applyFont="1" applyFill="1" applyBorder="1" applyAlignment="1">
      <alignment horizontal="center" vertical="center" wrapText="1"/>
    </xf>
    <xf numFmtId="0" fontId="3" fillId="5" borderId="0" xfId="79" applyFont="1" applyFill="1" applyBorder="1" applyAlignment="1">
      <alignment horizontal="left" indent="1"/>
    </xf>
    <xf numFmtId="37" fontId="3" fillId="8" borderId="20" xfId="55" applyNumberFormat="1" applyFont="1" applyFill="1" applyBorder="1" applyAlignment="1">
      <alignment horizontal="center" vertical="center"/>
    </xf>
    <xf numFmtId="37" fontId="3" fillId="8" borderId="39" xfId="55" applyNumberFormat="1" applyFont="1" applyFill="1" applyBorder="1" applyAlignment="1">
      <alignment horizontal="center" vertical="center"/>
    </xf>
    <xf numFmtId="37" fontId="15" fillId="8" borderId="39" xfId="55" applyNumberFormat="1" applyFont="1" applyFill="1" applyBorder="1" applyAlignment="1">
      <alignment horizontal="center" vertical="center"/>
    </xf>
    <xf numFmtId="37" fontId="3" fillId="8" borderId="38" xfId="0" applyNumberFormat="1" applyFont="1" applyFill="1" applyBorder="1" applyAlignment="1">
      <alignment horizontal="center"/>
    </xf>
    <xf numFmtId="174" fontId="18" fillId="8" borderId="39" xfId="0" applyNumberFormat="1" applyFont="1" applyFill="1" applyBorder="1" applyAlignment="1">
      <alignment horizontal="center"/>
    </xf>
    <xf numFmtId="37" fontId="3" fillId="8" borderId="43" xfId="0" applyNumberFormat="1" applyFont="1" applyFill="1" applyBorder="1" applyAlignment="1">
      <alignment horizontal="center"/>
    </xf>
    <xf numFmtId="37" fontId="16" fillId="8" borderId="38" xfId="0" applyNumberFormat="1" applyFont="1" applyFill="1" applyBorder="1" applyAlignment="1">
      <alignment horizontal="center"/>
    </xf>
    <xf numFmtId="37" fontId="16" fillId="8" borderId="39" xfId="0" applyNumberFormat="1" applyFont="1" applyFill="1" applyBorder="1" applyAlignment="1">
      <alignment horizontal="center" vertical="center"/>
    </xf>
    <xf numFmtId="37" fontId="16" fillId="8" borderId="39" xfId="0" applyNumberFormat="1" applyFont="1" applyFill="1" applyBorder="1" applyAlignment="1">
      <alignment horizontal="center"/>
    </xf>
    <xf numFmtId="37" fontId="15" fillId="8" borderId="44" xfId="0" applyNumberFormat="1" applyFont="1" applyFill="1" applyBorder="1" applyAlignment="1">
      <alignment horizontal="center"/>
    </xf>
    <xf numFmtId="0" fontId="15" fillId="5" borderId="23" xfId="80" applyFont="1" applyFill="1" applyBorder="1" applyAlignment="1" applyProtection="1">
      <alignment horizontal="left" vertical="center" indent="1"/>
      <protection locked="0"/>
    </xf>
    <xf numFmtId="37" fontId="15" fillId="8" borderId="45" xfId="0" applyNumberFormat="1" applyFont="1" applyFill="1" applyBorder="1" applyAlignment="1">
      <alignment horizontal="center"/>
    </xf>
    <xf numFmtId="37" fontId="15" fillId="8" borderId="45" xfId="54" applyNumberFormat="1" applyFont="1" applyFill="1" applyBorder="1" applyAlignment="1">
      <alignment horizontal="center"/>
    </xf>
    <xf numFmtId="37" fontId="3" fillId="8" borderId="38" xfId="54" applyNumberFormat="1" applyFont="1" applyFill="1" applyBorder="1" applyAlignment="1">
      <alignment horizontal="center"/>
    </xf>
    <xf numFmtId="37" fontId="3" fillId="8" borderId="39" xfId="54" applyNumberFormat="1" applyFont="1" applyFill="1" applyBorder="1" applyAlignment="1">
      <alignment horizontal="center"/>
    </xf>
    <xf numFmtId="37" fontId="15" fillId="8" borderId="39" xfId="54" applyNumberFormat="1" applyFont="1" applyFill="1" applyBorder="1" applyAlignment="1">
      <alignment horizontal="center"/>
    </xf>
    <xf numFmtId="0" fontId="16" fillId="0" borderId="47" xfId="0" applyFont="1" applyFill="1" applyBorder="1" applyAlignment="1">
      <alignment horizontal="center"/>
    </xf>
    <xf numFmtId="0" fontId="16" fillId="0" borderId="48" xfId="0" applyFont="1" applyFill="1" applyBorder="1" applyAlignment="1">
      <alignment horizontal="center"/>
    </xf>
    <xf numFmtId="0" fontId="3" fillId="0" borderId="48" xfId="0" applyFont="1" applyFill="1" applyBorder="1" applyAlignment="1">
      <alignment horizontal="center"/>
    </xf>
    <xf numFmtId="0" fontId="17" fillId="0" borderId="48" xfId="0" applyFont="1" applyFill="1" applyBorder="1" applyAlignment="1">
      <alignment horizontal="center"/>
    </xf>
    <xf numFmtId="0" fontId="3" fillId="8" borderId="38" xfId="0" applyFont="1" applyFill="1" applyBorder="1"/>
    <xf numFmtId="37" fontId="3" fillId="8" borderId="39" xfId="0" applyNumberFormat="1" applyFont="1" applyFill="1" applyBorder="1"/>
    <xf numFmtId="38" fontId="16" fillId="8" borderId="38" xfId="0" applyNumberFormat="1" applyFont="1" applyFill="1" applyBorder="1" applyAlignment="1">
      <alignment horizontal="center" vertical="center" wrapText="1"/>
    </xf>
    <xf numFmtId="38" fontId="16" fillId="8" borderId="39" xfId="0" applyNumberFormat="1" applyFont="1" applyFill="1" applyBorder="1" applyAlignment="1">
      <alignment horizontal="center" vertical="center" wrapText="1"/>
    </xf>
    <xf numFmtId="2" fontId="16" fillId="8" borderId="40" xfId="0" applyNumberFormat="1" applyFont="1" applyFill="1" applyBorder="1" applyAlignment="1">
      <alignment horizontal="center"/>
    </xf>
    <xf numFmtId="0" fontId="16" fillId="8" borderId="42" xfId="0" applyFont="1" applyFill="1" applyBorder="1" applyAlignment="1">
      <alignment horizontal="left" vertical="center" wrapText="1"/>
    </xf>
    <xf numFmtId="0" fontId="3" fillId="0" borderId="9" xfId="0" applyFont="1" applyFill="1" applyBorder="1"/>
    <xf numFmtId="0" fontId="3" fillId="0" borderId="21" xfId="0" applyFont="1" applyFill="1" applyBorder="1" applyAlignment="1">
      <alignment wrapText="1"/>
    </xf>
    <xf numFmtId="0" fontId="18" fillId="0" borderId="0" xfId="0" applyFont="1"/>
    <xf numFmtId="43" fontId="18" fillId="5" borderId="0" xfId="53" applyFont="1" applyFill="1" applyBorder="1"/>
    <xf numFmtId="0" fontId="17" fillId="0" borderId="0" xfId="0" applyFont="1" applyFill="1" applyAlignment="1">
      <alignment horizontal="left" vertical="center" wrapText="1"/>
    </xf>
    <xf numFmtId="195" fontId="3" fillId="8" borderId="30" xfId="56" quotePrefix="1" applyNumberFormat="1" applyFont="1" applyFill="1" applyBorder="1" applyAlignment="1">
      <alignment horizontal="center" vertical="center"/>
    </xf>
    <xf numFmtId="37" fontId="16" fillId="0" borderId="38" xfId="0" applyNumberFormat="1" applyFont="1" applyFill="1" applyBorder="1" applyAlignment="1">
      <alignment horizontal="center"/>
    </xf>
    <xf numFmtId="37" fontId="16" fillId="0" borderId="39" xfId="0" applyNumberFormat="1" applyFont="1" applyFill="1" applyBorder="1" applyAlignment="1">
      <alignment horizontal="center"/>
    </xf>
    <xf numFmtId="37" fontId="15" fillId="0" borderId="44" xfId="0" applyNumberFormat="1" applyFont="1" applyFill="1" applyBorder="1" applyAlignment="1">
      <alignment horizontal="center"/>
    </xf>
    <xf numFmtId="0" fontId="16" fillId="5" borderId="0" xfId="0" applyFont="1" applyFill="1" applyBorder="1" applyAlignment="1">
      <alignment vertical="center"/>
    </xf>
    <xf numFmtId="0" fontId="16" fillId="5" borderId="0" xfId="0" applyFont="1" applyFill="1" applyBorder="1" applyAlignment="1">
      <alignment horizontal="center" vertical="center"/>
    </xf>
    <xf numFmtId="177" fontId="16" fillId="0" borderId="49" xfId="0" applyNumberFormat="1" applyFont="1" applyFill="1" applyBorder="1"/>
    <xf numFmtId="177" fontId="16" fillId="0" borderId="50" xfId="0" applyNumberFormat="1" applyFont="1" applyFill="1" applyBorder="1"/>
    <xf numFmtId="0" fontId="16" fillId="0" borderId="49" xfId="0" applyFont="1" applyFill="1" applyBorder="1" applyAlignment="1">
      <alignment horizontal="center" vertical="center"/>
    </xf>
    <xf numFmtId="0" fontId="16" fillId="0" borderId="5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left" indent="2"/>
    </xf>
    <xf numFmtId="0" fontId="22" fillId="9" borderId="0" xfId="0" applyFont="1" applyFill="1" applyBorder="1" applyAlignment="1">
      <alignment horizontal="left" indent="1"/>
    </xf>
    <xf numFmtId="174" fontId="17" fillId="8" borderId="39" xfId="91" applyNumberFormat="1" applyFont="1" applyFill="1" applyBorder="1" applyAlignment="1">
      <alignment horizontal="center"/>
    </xf>
    <xf numFmtId="0" fontId="3" fillId="5" borderId="0" xfId="0" applyFont="1" applyFill="1" applyBorder="1" applyAlignment="1">
      <alignment horizontal="left" vertical="center" indent="2"/>
    </xf>
    <xf numFmtId="37" fontId="3" fillId="8" borderId="39" xfId="0" applyNumberFormat="1" applyFont="1" applyFill="1" applyBorder="1" applyAlignment="1">
      <alignment horizontal="center" vertical="center"/>
    </xf>
    <xf numFmtId="194" fontId="3" fillId="8" borderId="39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right" vertical="center"/>
    </xf>
    <xf numFmtId="174" fontId="3" fillId="0" borderId="39" xfId="0" applyNumberFormat="1" applyFont="1" applyFill="1" applyBorder="1" applyAlignment="1">
      <alignment horizontal="center" vertical="center"/>
    </xf>
    <xf numFmtId="173" fontId="3" fillId="0" borderId="39" xfId="0" applyNumberFormat="1" applyFont="1" applyFill="1" applyBorder="1" applyAlignment="1">
      <alignment horizontal="center" vertical="center"/>
    </xf>
    <xf numFmtId="1" fontId="3" fillId="0" borderId="39" xfId="0" applyNumberFormat="1" applyFont="1" applyFill="1" applyBorder="1" applyAlignment="1">
      <alignment horizontal="center" vertical="center"/>
    </xf>
    <xf numFmtId="37" fontId="3" fillId="0" borderId="39" xfId="0" applyNumberFormat="1" applyFont="1" applyFill="1" applyBorder="1" applyAlignment="1">
      <alignment horizontal="center" vertical="center"/>
    </xf>
    <xf numFmtId="194" fontId="3" fillId="0" borderId="39" xfId="0" applyNumberFormat="1" applyFont="1" applyFill="1" applyBorder="1" applyAlignment="1">
      <alignment horizontal="center" vertical="center"/>
    </xf>
    <xf numFmtId="174" fontId="3" fillId="0" borderId="39" xfId="91" applyNumberFormat="1" applyFont="1" applyFill="1" applyBorder="1" applyAlignment="1">
      <alignment horizontal="center" vertical="center"/>
    </xf>
    <xf numFmtId="174" fontId="3" fillId="0" borderId="39" xfId="91" applyNumberFormat="1" applyFont="1" applyFill="1" applyBorder="1" applyAlignment="1">
      <alignment horizontal="center"/>
    </xf>
    <xf numFmtId="37" fontId="17" fillId="0" borderId="39" xfId="0" applyNumberFormat="1" applyFont="1" applyFill="1" applyBorder="1" applyAlignment="1">
      <alignment horizontal="center"/>
    </xf>
    <xf numFmtId="174" fontId="17" fillId="0" borderId="39" xfId="91" applyNumberFormat="1" applyFont="1" applyFill="1" applyBorder="1" applyAlignment="1">
      <alignment horizontal="center"/>
    </xf>
    <xf numFmtId="38" fontId="16" fillId="0" borderId="38" xfId="0" applyNumberFormat="1" applyFont="1" applyFill="1" applyBorder="1" applyAlignment="1">
      <alignment horizontal="center" vertical="center" wrapText="1"/>
    </xf>
    <xf numFmtId="38" fontId="16" fillId="0" borderId="39" xfId="0" applyNumberFormat="1" applyFont="1" applyFill="1" applyBorder="1" applyAlignment="1">
      <alignment horizontal="center" vertical="center" wrapText="1"/>
    </xf>
    <xf numFmtId="2" fontId="16" fillId="0" borderId="40" xfId="0" applyNumberFormat="1" applyFont="1" applyFill="1" applyBorder="1" applyAlignment="1">
      <alignment horizontal="center"/>
    </xf>
    <xf numFmtId="37" fontId="15" fillId="0" borderId="39" xfId="0" applyNumberFormat="1" applyFont="1" applyFill="1" applyBorder="1" applyAlignment="1">
      <alignment horizontal="center"/>
    </xf>
    <xf numFmtId="174" fontId="3" fillId="0" borderId="39" xfId="90" applyNumberFormat="1" applyFont="1" applyFill="1" applyBorder="1" applyAlignment="1">
      <alignment horizontal="center" vertical="center"/>
    </xf>
    <xf numFmtId="174" fontId="3" fillId="0" borderId="39" xfId="0" applyNumberFormat="1" applyFont="1" applyFill="1" applyBorder="1" applyAlignment="1">
      <alignment horizontal="center"/>
    </xf>
    <xf numFmtId="174" fontId="17" fillId="0" borderId="39" xfId="90" applyNumberFormat="1" applyFont="1" applyFill="1" applyBorder="1" applyAlignment="1">
      <alignment horizontal="center"/>
    </xf>
    <xf numFmtId="39" fontId="3" fillId="8" borderId="39" xfId="0" applyNumberFormat="1" applyFont="1" applyFill="1" applyBorder="1" applyAlignment="1">
      <alignment horizontal="center"/>
    </xf>
    <xf numFmtId="39" fontId="3" fillId="0" borderId="39" xfId="0" applyNumberFormat="1" applyFont="1" applyFill="1" applyBorder="1" applyAlignment="1">
      <alignment horizontal="center"/>
    </xf>
    <xf numFmtId="2" fontId="3" fillId="8" borderId="39" xfId="53" applyNumberFormat="1" applyFont="1" applyFill="1" applyBorder="1" applyAlignment="1">
      <alignment horizontal="center"/>
    </xf>
    <xf numFmtId="2" fontId="3" fillId="0" borderId="39" xfId="53" applyNumberFormat="1" applyFont="1" applyFill="1" applyBorder="1" applyAlignment="1">
      <alignment horizontal="center"/>
    </xf>
    <xf numFmtId="2" fontId="3" fillId="8" borderId="39" xfId="0" applyNumberFormat="1" applyFont="1" applyFill="1" applyBorder="1" applyAlignment="1">
      <alignment horizontal="center"/>
    </xf>
    <xf numFmtId="2" fontId="3" fillId="0" borderId="39" xfId="0" applyNumberFormat="1" applyFont="1" applyFill="1" applyBorder="1" applyAlignment="1">
      <alignment horizontal="center"/>
    </xf>
    <xf numFmtId="39" fontId="3" fillId="8" borderId="39" xfId="0" applyNumberFormat="1" applyFont="1" applyFill="1" applyBorder="1" applyAlignment="1">
      <alignment horizontal="center" vertical="center"/>
    </xf>
    <xf numFmtId="39" fontId="3" fillId="0" borderId="39" xfId="0" applyNumberFormat="1" applyFont="1" applyFill="1" applyBorder="1" applyAlignment="1">
      <alignment horizontal="center" vertical="center"/>
    </xf>
    <xf numFmtId="39" fontId="0" fillId="0" borderId="0" xfId="0" applyNumberFormat="1" applyFill="1"/>
    <xf numFmtId="37" fontId="3" fillId="0" borderId="20" xfId="55" applyNumberFormat="1" applyFont="1" applyFill="1" applyBorder="1" applyAlignment="1">
      <alignment horizontal="center" vertical="center"/>
    </xf>
    <xf numFmtId="178" fontId="61" fillId="0" borderId="0" xfId="78" applyFont="1" applyAlignment="1">
      <alignment horizontal="right" vertical="center"/>
    </xf>
    <xf numFmtId="37" fontId="3" fillId="0" borderId="38" xfId="0" applyNumberFormat="1" applyFont="1" applyFill="1" applyBorder="1" applyAlignment="1">
      <alignment horizontal="center"/>
    </xf>
    <xf numFmtId="174" fontId="18" fillId="0" borderId="39" xfId="0" applyNumberFormat="1" applyFont="1" applyFill="1" applyBorder="1" applyAlignment="1">
      <alignment horizontal="center"/>
    </xf>
    <xf numFmtId="37" fontId="3" fillId="0" borderId="43" xfId="0" applyNumberFormat="1" applyFont="1" applyFill="1" applyBorder="1" applyAlignment="1">
      <alignment horizontal="center"/>
    </xf>
    <xf numFmtId="174" fontId="18" fillId="0" borderId="12" xfId="90" applyNumberFormat="1" applyFont="1" applyFill="1" applyBorder="1" applyAlignment="1">
      <alignment horizontal="center" vertical="center"/>
    </xf>
    <xf numFmtId="3" fontId="3" fillId="0" borderId="12" xfId="0" applyNumberFormat="1" applyFont="1" applyFill="1" applyBorder="1" applyAlignment="1">
      <alignment horizontal="center"/>
    </xf>
    <xf numFmtId="3" fontId="3" fillId="0" borderId="32" xfId="0" applyNumberFormat="1" applyFont="1" applyFill="1" applyBorder="1" applyAlignment="1">
      <alignment horizontal="center"/>
    </xf>
    <xf numFmtId="174" fontId="18" fillId="0" borderId="12" xfId="0" applyNumberFormat="1" applyFont="1" applyFill="1" applyBorder="1" applyAlignment="1">
      <alignment horizontal="center" vertical="center"/>
    </xf>
    <xf numFmtId="37" fontId="16" fillId="0" borderId="39" xfId="0" applyNumberFormat="1" applyFont="1" applyFill="1" applyBorder="1" applyAlignment="1">
      <alignment horizontal="center" vertical="center"/>
    </xf>
    <xf numFmtId="37" fontId="15" fillId="0" borderId="45" xfId="0" applyNumberFormat="1" applyFont="1" applyFill="1" applyBorder="1" applyAlignment="1">
      <alignment horizontal="center"/>
    </xf>
    <xf numFmtId="37" fontId="3" fillId="0" borderId="38" xfId="54" applyNumberFormat="1" applyFont="1" applyFill="1" applyBorder="1" applyAlignment="1">
      <alignment horizontal="center"/>
    </xf>
    <xf numFmtId="37" fontId="3" fillId="0" borderId="39" xfId="54" applyNumberFormat="1" applyFont="1" applyFill="1" applyBorder="1" applyAlignment="1">
      <alignment horizontal="center"/>
    </xf>
    <xf numFmtId="37" fontId="15" fillId="0" borderId="39" xfId="54" applyNumberFormat="1" applyFont="1" applyFill="1" applyBorder="1" applyAlignment="1">
      <alignment horizontal="center"/>
    </xf>
    <xf numFmtId="37" fontId="15" fillId="0" borderId="45" xfId="54" applyNumberFormat="1" applyFont="1" applyFill="1" applyBorder="1" applyAlignment="1">
      <alignment horizontal="center"/>
    </xf>
    <xf numFmtId="0" fontId="3" fillId="0" borderId="38" xfId="0" applyFont="1" applyFill="1" applyBorder="1"/>
    <xf numFmtId="37" fontId="3" fillId="0" borderId="39" xfId="0" applyNumberFormat="1" applyFont="1" applyFill="1" applyBorder="1"/>
    <xf numFmtId="173" fontId="15" fillId="5" borderId="0" xfId="0" applyNumberFormat="1" applyFont="1" applyFill="1" applyBorder="1" applyAlignment="1">
      <alignment horizontal="center"/>
    </xf>
    <xf numFmtId="0" fontId="3" fillId="5" borderId="0" xfId="0" applyFont="1" applyFill="1" applyBorder="1" applyAlignment="1">
      <alignment horizontal="left" vertical="center" wrapText="1"/>
    </xf>
    <xf numFmtId="0" fontId="15" fillId="5" borderId="0" xfId="0" applyFont="1" applyFill="1" applyBorder="1" applyAlignment="1">
      <alignment vertical="center"/>
    </xf>
    <xf numFmtId="0" fontId="20" fillId="0" borderId="0" xfId="70" applyFont="1" applyFill="1" applyAlignment="1" applyProtection="1">
      <alignment vertical="center"/>
    </xf>
    <xf numFmtId="0" fontId="20" fillId="0" borderId="0" xfId="70" applyFont="1" applyAlignment="1" applyProtection="1">
      <alignment vertical="center"/>
    </xf>
    <xf numFmtId="0" fontId="3" fillId="5" borderId="0" xfId="0" applyFont="1" applyFill="1" applyBorder="1" applyAlignment="1">
      <alignment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3" fillId="7" borderId="0" xfId="0" applyFont="1" applyFill="1" applyAlignment="1">
      <alignment horizontal="left"/>
    </xf>
    <xf numFmtId="1" fontId="3" fillId="0" borderId="0" xfId="77" applyNumberFormat="1" applyFont="1" applyAlignment="1">
      <alignment horizontal="center"/>
    </xf>
    <xf numFmtId="37" fontId="3" fillId="0" borderId="0" xfId="56" applyNumberFormat="1" applyFont="1" applyBorder="1" applyAlignment="1">
      <alignment horizontal="center"/>
    </xf>
    <xf numFmtId="0" fontId="63" fillId="0" borderId="0" xfId="0" applyFont="1" applyAlignment="1">
      <alignment horizontal="center"/>
    </xf>
    <xf numFmtId="0" fontId="63" fillId="0" borderId="0" xfId="0" applyFont="1" applyAlignment="1">
      <alignment horizontal="center" vertical="center"/>
    </xf>
    <xf numFmtId="173" fontId="15" fillId="0" borderId="0" xfId="0" applyNumberFormat="1" applyFont="1" applyFill="1" applyBorder="1" applyAlignment="1">
      <alignment horizontal="center"/>
    </xf>
    <xf numFmtId="0" fontId="3" fillId="5" borderId="59" xfId="80" applyFont="1" applyFill="1" applyBorder="1" applyAlignment="1" applyProtection="1">
      <alignment horizontal="left" vertical="center" indent="1"/>
      <protection locked="0"/>
    </xf>
    <xf numFmtId="0" fontId="15" fillId="5" borderId="46" xfId="80" applyFont="1" applyFill="1" applyBorder="1" applyAlignment="1" applyProtection="1">
      <alignment horizontal="left" vertical="center" wrapText="1" indent="1"/>
    </xf>
    <xf numFmtId="0" fontId="63" fillId="0" borderId="0" xfId="0" applyFont="1"/>
    <xf numFmtId="0" fontId="16" fillId="9" borderId="0" xfId="0" applyFont="1" applyFill="1" applyBorder="1"/>
    <xf numFmtId="37" fontId="15" fillId="9" borderId="0" xfId="0" applyNumberFormat="1" applyFont="1" applyFill="1" applyBorder="1" applyAlignment="1">
      <alignment horizontal="center"/>
    </xf>
    <xf numFmtId="37" fontId="16" fillId="9" borderId="0" xfId="0" applyNumberFormat="1" applyFont="1" applyFill="1" applyBorder="1" applyAlignment="1">
      <alignment horizontal="center" vertical="center"/>
    </xf>
    <xf numFmtId="0" fontId="15" fillId="0" borderId="0" xfId="78" applyNumberFormat="1" applyFont="1" applyFill="1" applyAlignment="1">
      <alignment horizontal="left"/>
    </xf>
    <xf numFmtId="172" fontId="15" fillId="0" borderId="0" xfId="54" applyNumberFormat="1" applyFont="1" applyFill="1" applyBorder="1" applyAlignment="1">
      <alignment horizontal="center"/>
    </xf>
    <xf numFmtId="172" fontId="3" fillId="0" borderId="0" xfId="54" applyNumberFormat="1" applyFont="1" applyBorder="1" applyAlignment="1">
      <alignment horizontal="left"/>
    </xf>
    <xf numFmtId="172" fontId="3" fillId="0" borderId="0" xfId="54" applyNumberFormat="1" applyFont="1" applyFill="1" applyBorder="1" applyAlignment="1">
      <alignment horizontal="left"/>
    </xf>
    <xf numFmtId="172" fontId="15" fillId="0" borderId="0" xfId="54" applyNumberFormat="1" applyFont="1" applyBorder="1" applyAlignment="1">
      <alignment horizontal="center"/>
    </xf>
    <xf numFmtId="0" fontId="3" fillId="0" borderId="0" xfId="78" applyNumberFormat="1" applyFont="1" applyFill="1" applyAlignment="1">
      <alignment horizontal="left"/>
    </xf>
    <xf numFmtId="172" fontId="3" fillId="8" borderId="39" xfId="53" applyNumberFormat="1" applyFont="1" applyFill="1" applyBorder="1" applyAlignment="1">
      <alignment horizontal="center" vertical="center"/>
    </xf>
    <xf numFmtId="172" fontId="15" fillId="8" borderId="39" xfId="53" applyNumberFormat="1" applyFont="1" applyFill="1" applyBorder="1" applyAlignment="1">
      <alignment horizontal="center" vertical="center"/>
    </xf>
    <xf numFmtId="0" fontId="15" fillId="0" borderId="33" xfId="78" applyNumberFormat="1" applyFont="1" applyFill="1" applyBorder="1" applyAlignment="1">
      <alignment horizontal="left"/>
    </xf>
    <xf numFmtId="172" fontId="15" fillId="8" borderId="43" xfId="53" applyNumberFormat="1" applyFont="1" applyFill="1" applyBorder="1" applyAlignment="1">
      <alignment horizontal="center" vertical="center"/>
    </xf>
    <xf numFmtId="172" fontId="15" fillId="0" borderId="0" xfId="53" applyNumberFormat="1" applyFont="1" applyFill="1" applyBorder="1" applyAlignment="1">
      <alignment horizontal="center" vertical="center"/>
    </xf>
    <xf numFmtId="9" fontId="15" fillId="0" borderId="62" xfId="91" applyFont="1" applyFill="1" applyBorder="1" applyAlignment="1">
      <alignment horizontal="center" vertical="center"/>
    </xf>
    <xf numFmtId="0" fontId="64" fillId="0" borderId="0" xfId="0" applyFont="1"/>
    <xf numFmtId="172" fontId="15" fillId="0" borderId="25" xfId="53" applyNumberFormat="1" applyFont="1" applyFill="1" applyBorder="1" applyAlignment="1">
      <alignment horizontal="center" vertical="center"/>
    </xf>
    <xf numFmtId="9" fontId="15" fillId="0" borderId="33" xfId="90" applyFont="1" applyFill="1" applyBorder="1" applyAlignment="1">
      <alignment horizontal="center" vertical="center"/>
    </xf>
    <xf numFmtId="172" fontId="3" fillId="0" borderId="39" xfId="53" applyNumberFormat="1" applyFont="1" applyFill="1" applyBorder="1" applyAlignment="1">
      <alignment horizontal="center" vertical="center"/>
    </xf>
    <xf numFmtId="172" fontId="15" fillId="0" borderId="39" xfId="53" applyNumberFormat="1" applyFont="1" applyFill="1" applyBorder="1" applyAlignment="1">
      <alignment horizontal="center" vertical="center"/>
    </xf>
    <xf numFmtId="172" fontId="3" fillId="8" borderId="39" xfId="53" applyNumberFormat="1" applyFont="1" applyFill="1" applyBorder="1" applyAlignment="1">
      <alignment horizontal="center" vertical="top"/>
    </xf>
    <xf numFmtId="172" fontId="3" fillId="0" borderId="39" xfId="53" applyNumberFormat="1" applyFont="1" applyFill="1" applyBorder="1" applyAlignment="1">
      <alignment horizontal="center" vertical="top"/>
    </xf>
    <xf numFmtId="172" fontId="3" fillId="0" borderId="0" xfId="53" applyNumberFormat="1" applyFont="1" applyBorder="1"/>
    <xf numFmtId="172" fontId="3" fillId="0" borderId="0" xfId="53" applyNumberFormat="1" applyFont="1" applyBorder="1" applyAlignment="1">
      <alignment horizontal="center" vertical="center"/>
    </xf>
    <xf numFmtId="172" fontId="3" fillId="0" borderId="0" xfId="53" applyNumberFormat="1" applyFont="1" applyFill="1" applyBorder="1" applyAlignment="1">
      <alignment horizontal="center" vertical="center"/>
    </xf>
    <xf numFmtId="172" fontId="15" fillId="0" borderId="0" xfId="53" applyNumberFormat="1" applyFont="1" applyBorder="1"/>
    <xf numFmtId="172" fontId="15" fillId="0" borderId="0" xfId="53" applyNumberFormat="1" applyFont="1" applyBorder="1" applyAlignment="1">
      <alignment horizontal="center" vertical="center"/>
    </xf>
    <xf numFmtId="194" fontId="3" fillId="0" borderId="0" xfId="77" applyNumberFormat="1" applyFont="1" applyAlignment="1">
      <alignment horizontal="center"/>
    </xf>
    <xf numFmtId="172" fontId="15" fillId="0" borderId="0" xfId="53" applyNumberFormat="1" applyFont="1"/>
    <xf numFmtId="178" fontId="15" fillId="0" borderId="33" xfId="81" applyFont="1" applyFill="1" applyBorder="1" applyAlignment="1">
      <alignment horizontal="left"/>
    </xf>
    <xf numFmtId="172" fontId="3" fillId="8" borderId="0" xfId="53" applyNumberFormat="1" applyFont="1" applyFill="1" applyBorder="1" applyAlignment="1">
      <alignment horizontal="center" vertical="center"/>
    </xf>
    <xf numFmtId="172" fontId="3" fillId="0" borderId="0" xfId="53" applyNumberFormat="1" applyFont="1" applyFill="1" applyBorder="1"/>
    <xf numFmtId="172" fontId="3" fillId="8" borderId="0" xfId="53" applyNumberFormat="1" applyFont="1" applyFill="1" applyBorder="1"/>
    <xf numFmtId="172" fontId="15" fillId="0" borderId="0" xfId="53" applyNumberFormat="1" applyFont="1" applyFill="1" applyBorder="1"/>
    <xf numFmtId="172" fontId="15" fillId="8" borderId="0" xfId="53" applyNumberFormat="1" applyFont="1" applyFill="1" applyBorder="1"/>
    <xf numFmtId="172" fontId="15" fillId="8" borderId="0" xfId="53" applyNumberFormat="1" applyFont="1" applyFill="1" applyBorder="1" applyAlignment="1">
      <alignment horizontal="center" vertical="center"/>
    </xf>
    <xf numFmtId="172" fontId="15" fillId="8" borderId="4" xfId="53" applyNumberFormat="1" applyFont="1" applyFill="1" applyBorder="1" applyAlignment="1">
      <alignment horizontal="center" vertical="center"/>
    </xf>
    <xf numFmtId="172" fontId="15" fillId="0" borderId="4" xfId="53" applyNumberFormat="1" applyFont="1" applyFill="1" applyBorder="1"/>
    <xf numFmtId="172" fontId="15" fillId="8" borderId="4" xfId="53" applyNumberFormat="1" applyFont="1" applyFill="1" applyBorder="1"/>
    <xf numFmtId="172" fontId="15" fillId="0" borderId="4" xfId="53" applyNumberFormat="1" applyFont="1" applyBorder="1"/>
    <xf numFmtId="172" fontId="15" fillId="8" borderId="63" xfId="53" applyNumberFormat="1" applyFont="1" applyFill="1" applyBorder="1" applyAlignment="1">
      <alignment horizontal="center" vertical="center"/>
    </xf>
    <xf numFmtId="172" fontId="15" fillId="0" borderId="63" xfId="53" applyNumberFormat="1" applyFont="1" applyFill="1" applyBorder="1"/>
    <xf numFmtId="172" fontId="15" fillId="8" borderId="63" xfId="53" applyNumberFormat="1" applyFont="1" applyFill="1" applyBorder="1"/>
    <xf numFmtId="172" fontId="15" fillId="0" borderId="63" xfId="53" applyNumberFormat="1" applyFont="1" applyFill="1" applyBorder="1" applyAlignment="1">
      <alignment horizontal="left"/>
    </xf>
    <xf numFmtId="3" fontId="3" fillId="8" borderId="40" xfId="90" applyNumberFormat="1" applyFont="1" applyFill="1" applyBorder="1" applyAlignment="1">
      <alignment horizontal="center"/>
    </xf>
    <xf numFmtId="3" fontId="3" fillId="0" borderId="40" xfId="90" applyNumberFormat="1" applyFont="1" applyFill="1" applyBorder="1" applyAlignment="1">
      <alignment horizontal="center"/>
    </xf>
    <xf numFmtId="174" fontId="15" fillId="0" borderId="0" xfId="90" applyNumberFormat="1" applyFont="1"/>
    <xf numFmtId="174" fontId="3" fillId="0" borderId="0" xfId="90" applyNumberFormat="1" applyFont="1"/>
    <xf numFmtId="172" fontId="3" fillId="0" borderId="0" xfId="53" applyNumberFormat="1" applyFont="1" applyAlignment="1">
      <alignment horizontal="center" vertical="center"/>
    </xf>
    <xf numFmtId="172" fontId="3" fillId="0" borderId="0" xfId="53" applyNumberFormat="1" applyFont="1" applyFill="1" applyAlignment="1">
      <alignment horizontal="center" vertical="center"/>
    </xf>
    <xf numFmtId="0" fontId="16" fillId="5" borderId="0" xfId="80" applyFont="1" applyFill="1" applyBorder="1" applyAlignment="1">
      <alignment horizontal="center" vertical="center"/>
    </xf>
    <xf numFmtId="0" fontId="16" fillId="5" borderId="0" xfId="80" applyFont="1" applyFill="1" applyBorder="1" applyAlignment="1">
      <alignment vertical="center"/>
    </xf>
    <xf numFmtId="0" fontId="61" fillId="0" borderId="0" xfId="0" applyFont="1" applyAlignment="1">
      <alignment horizontal="right"/>
    </xf>
    <xf numFmtId="0" fontId="3" fillId="8" borderId="18" xfId="0" applyFont="1" applyFill="1" applyBorder="1" applyAlignment="1">
      <alignment horizontal="centerContinuous" vertical="center"/>
    </xf>
    <xf numFmtId="195" fontId="3" fillId="8" borderId="64" xfId="80" quotePrefix="1" applyNumberFormat="1" applyFont="1" applyFill="1" applyBorder="1" applyAlignment="1">
      <alignment horizontal="center" vertical="center"/>
    </xf>
    <xf numFmtId="172" fontId="3" fillId="0" borderId="0" xfId="54" applyNumberFormat="1" applyFont="1" applyFill="1" applyBorder="1"/>
    <xf numFmtId="172" fontId="15" fillId="0" borderId="0" xfId="54" applyNumberFormat="1" applyFont="1" applyFill="1" applyBorder="1"/>
    <xf numFmtId="172" fontId="3" fillId="0" borderId="0" xfId="54" applyNumberFormat="1" applyFont="1" applyFill="1" applyBorder="1" applyAlignment="1">
      <alignment wrapText="1"/>
    </xf>
    <xf numFmtId="172" fontId="15" fillId="0" borderId="0" xfId="54" applyNumberFormat="1" applyFont="1" applyFill="1" applyBorder="1" applyAlignment="1">
      <alignment vertical="center" wrapText="1"/>
    </xf>
    <xf numFmtId="37" fontId="15" fillId="8" borderId="65" xfId="55" applyNumberFormat="1" applyFont="1" applyFill="1" applyBorder="1" applyAlignment="1">
      <alignment horizontal="center" vertical="center"/>
    </xf>
    <xf numFmtId="37" fontId="15" fillId="0" borderId="4" xfId="55" applyNumberFormat="1" applyFont="1" applyFill="1" applyBorder="1" applyAlignment="1">
      <alignment horizontal="center" vertical="center"/>
    </xf>
    <xf numFmtId="172" fontId="3" fillId="0" borderId="0" xfId="54" applyNumberFormat="1" applyFont="1" applyFill="1" applyBorder="1" applyAlignment="1">
      <alignment vertical="center" wrapText="1"/>
    </xf>
    <xf numFmtId="37" fontId="3" fillId="8" borderId="65" xfId="55" applyNumberFormat="1" applyFont="1" applyFill="1" applyBorder="1" applyAlignment="1">
      <alignment horizontal="center" vertical="center"/>
    </xf>
    <xf numFmtId="37" fontId="3" fillId="0" borderId="4" xfId="55" applyNumberFormat="1" applyFont="1" applyFill="1" applyBorder="1" applyAlignment="1">
      <alignment horizontal="center" vertical="center"/>
    </xf>
    <xf numFmtId="37" fontId="15" fillId="0" borderId="0" xfId="55" applyNumberFormat="1" applyFont="1" applyFill="1" applyBorder="1" applyAlignment="1">
      <alignment horizontal="center" vertical="center"/>
    </xf>
    <xf numFmtId="0" fontId="3" fillId="0" borderId="25" xfId="78" applyNumberFormat="1" applyFont="1" applyBorder="1"/>
    <xf numFmtId="37" fontId="3" fillId="8" borderId="43" xfId="55" applyNumberFormat="1" applyFont="1" applyFill="1" applyBorder="1" applyAlignment="1">
      <alignment horizontal="center" vertical="center"/>
    </xf>
    <xf numFmtId="37" fontId="3" fillId="0" borderId="25" xfId="55" applyNumberFormat="1" applyFont="1" applyFill="1" applyBorder="1" applyAlignment="1">
      <alignment horizontal="center" vertical="center"/>
    </xf>
    <xf numFmtId="194" fontId="15" fillId="0" borderId="0" xfId="77" applyNumberFormat="1" applyFont="1" applyAlignment="1">
      <alignment horizontal="center"/>
    </xf>
    <xf numFmtId="178" fontId="15" fillId="0" borderId="0" xfId="77" applyFont="1" applyAlignment="1">
      <alignment horizontal="center"/>
    </xf>
    <xf numFmtId="0" fontId="15" fillId="0" borderId="33" xfId="78" applyNumberFormat="1" applyFont="1" applyFill="1" applyBorder="1" applyAlignment="1">
      <alignment horizontal="left" wrapText="1"/>
    </xf>
    <xf numFmtId="37" fontId="3" fillId="8" borderId="45" xfId="55" applyNumberFormat="1" applyFont="1" applyFill="1" applyBorder="1" applyAlignment="1">
      <alignment horizontal="center" vertical="center"/>
    </xf>
    <xf numFmtId="0" fontId="15" fillId="0" borderId="23" xfId="78" applyNumberFormat="1" applyFont="1" applyFill="1" applyBorder="1" applyAlignment="1">
      <alignment horizontal="left" wrapText="1"/>
    </xf>
    <xf numFmtId="37" fontId="15" fillId="8" borderId="45" xfId="55" applyNumberFormat="1" applyFont="1" applyFill="1" applyBorder="1" applyAlignment="1">
      <alignment horizontal="center" vertical="center"/>
    </xf>
    <xf numFmtId="37" fontId="15" fillId="0" borderId="23" xfId="55" applyNumberFormat="1" applyFont="1" applyFill="1" applyBorder="1" applyAlignment="1">
      <alignment horizontal="center" vertical="center"/>
    </xf>
    <xf numFmtId="0" fontId="15" fillId="0" borderId="0" xfId="78" applyNumberFormat="1" applyFont="1" applyFill="1" applyBorder="1" applyAlignment="1">
      <alignment horizontal="left" wrapText="1"/>
    </xf>
    <xf numFmtId="9" fontId="15" fillId="0" borderId="0" xfId="91" applyFont="1" applyFill="1" applyBorder="1" applyAlignment="1">
      <alignment horizontal="center" vertical="center"/>
    </xf>
    <xf numFmtId="172" fontId="15" fillId="0" borderId="0" xfId="54" applyNumberFormat="1" applyFont="1" applyFill="1" applyBorder="1" applyAlignment="1">
      <alignment wrapText="1"/>
    </xf>
    <xf numFmtId="0" fontId="3" fillId="0" borderId="0" xfId="78" applyNumberFormat="1" applyFont="1" applyBorder="1"/>
    <xf numFmtId="43" fontId="3" fillId="8" borderId="43" xfId="53" applyFont="1" applyFill="1" applyBorder="1" applyAlignment="1">
      <alignment horizontal="center" vertical="center"/>
    </xf>
    <xf numFmtId="43" fontId="3" fillId="0" borderId="0" xfId="53" applyFont="1" applyFill="1" applyBorder="1" applyAlignment="1">
      <alignment horizontal="center" vertical="center"/>
    </xf>
    <xf numFmtId="178" fontId="22" fillId="0" borderId="0" xfId="81" applyFont="1" applyFill="1" applyBorder="1" applyAlignment="1"/>
    <xf numFmtId="0" fontId="3" fillId="0" borderId="0" xfId="94" applyFont="1" applyFill="1" applyBorder="1" applyAlignment="1">
      <alignment horizontal="left" vertical="center" wrapText="1"/>
    </xf>
    <xf numFmtId="177" fontId="3" fillId="0" borderId="0" xfId="0" applyNumberFormat="1" applyFont="1" applyFill="1" applyBorder="1"/>
    <xf numFmtId="177" fontId="3" fillId="0" borderId="49" xfId="0" applyNumberFormat="1" applyFont="1" applyFill="1" applyBorder="1"/>
    <xf numFmtId="177" fontId="3" fillId="0" borderId="50" xfId="0" applyNumberFormat="1" applyFont="1" applyFill="1" applyBorder="1"/>
    <xf numFmtId="37" fontId="3" fillId="8" borderId="13" xfId="0" applyNumberFormat="1" applyFont="1" applyFill="1" applyBorder="1" applyAlignment="1">
      <alignment horizontal="center" vertical="center"/>
    </xf>
    <xf numFmtId="37" fontId="3" fillId="0" borderId="13" xfId="0" applyNumberFormat="1" applyFont="1" applyFill="1" applyBorder="1" applyAlignment="1">
      <alignment horizontal="center" vertical="center"/>
    </xf>
    <xf numFmtId="37" fontId="3" fillId="8" borderId="12" xfId="0" applyNumberFormat="1" applyFont="1" applyFill="1" applyBorder="1" applyAlignment="1">
      <alignment horizontal="center" vertical="center"/>
    </xf>
    <xf numFmtId="37" fontId="3" fillId="0" borderId="12" xfId="0" applyNumberFormat="1" applyFont="1" applyFill="1" applyBorder="1" applyAlignment="1">
      <alignment horizontal="center" vertical="center"/>
    </xf>
    <xf numFmtId="177" fontId="16" fillId="5" borderId="0" xfId="0" applyNumberFormat="1" applyFont="1" applyFill="1" applyBorder="1" applyAlignment="1">
      <alignment wrapText="1"/>
    </xf>
    <xf numFmtId="0" fontId="65" fillId="5" borderId="0" xfId="0" applyFont="1" applyFill="1" applyBorder="1" applyAlignment="1">
      <alignment horizontal="left" vertical="center" wrapText="1"/>
    </xf>
    <xf numFmtId="0" fontId="65" fillId="0" borderId="0" xfId="0" applyFont="1" applyFill="1" applyBorder="1" applyAlignment="1"/>
    <xf numFmtId="0" fontId="66" fillId="0" borderId="0" xfId="0" applyFont="1"/>
    <xf numFmtId="0" fontId="67" fillId="0" borderId="0" xfId="0" applyFont="1"/>
    <xf numFmtId="0" fontId="16" fillId="5" borderId="0" xfId="80" applyFont="1" applyFill="1" applyBorder="1" applyAlignment="1">
      <alignment horizontal="center" vertical="center"/>
    </xf>
    <xf numFmtId="178" fontId="15" fillId="0" borderId="0" xfId="77" applyFont="1" applyFill="1" applyBorder="1"/>
    <xf numFmtId="172" fontId="3" fillId="0" borderId="0" xfId="54" applyNumberFormat="1" applyFont="1" applyBorder="1" applyAlignment="1">
      <alignment wrapText="1"/>
    </xf>
    <xf numFmtId="37" fontId="15" fillId="8" borderId="20" xfId="55" applyNumberFormat="1" applyFont="1" applyFill="1" applyBorder="1" applyAlignment="1">
      <alignment horizontal="center" vertical="center"/>
    </xf>
    <xf numFmtId="2" fontId="3" fillId="5" borderId="0" xfId="0" applyNumberFormat="1" applyFont="1" applyFill="1" applyBorder="1"/>
    <xf numFmtId="0" fontId="3" fillId="5" borderId="0" xfId="53" applyNumberFormat="1" applyFont="1" applyFill="1" applyBorder="1" applyAlignment="1" applyProtection="1">
      <alignment horizontal="left" vertical="center" wrapText="1"/>
      <protection locked="0"/>
    </xf>
    <xf numFmtId="0" fontId="3" fillId="5" borderId="0" xfId="53" applyNumberFormat="1" applyFont="1" applyFill="1" applyBorder="1" applyAlignment="1" applyProtection="1">
      <alignment horizontal="left" vertical="center" wrapText="1" indent="2"/>
      <protection locked="0"/>
    </xf>
    <xf numFmtId="0" fontId="15" fillId="5" borderId="0" xfId="53" applyNumberFormat="1" applyFont="1" applyFill="1" applyBorder="1" applyAlignment="1" applyProtection="1">
      <alignment horizontal="left" vertical="center" wrapText="1"/>
      <protection locked="0"/>
    </xf>
    <xf numFmtId="0" fontId="15" fillId="5" borderId="0" xfId="53" applyNumberFormat="1" applyFont="1" applyFill="1" applyBorder="1" applyAlignment="1" applyProtection="1">
      <alignment horizontal="left" vertical="center" wrapText="1" indent="2"/>
      <protection locked="0"/>
    </xf>
    <xf numFmtId="37" fontId="3" fillId="0" borderId="0" xfId="0" applyNumberFormat="1" applyFont="1" applyFill="1" applyBorder="1" applyAlignment="1">
      <alignment horizontal="center"/>
    </xf>
    <xf numFmtId="37" fontId="15" fillId="0" borderId="0" xfId="0" applyNumberFormat="1" applyFont="1" applyFill="1" applyBorder="1" applyAlignment="1">
      <alignment horizontal="center"/>
    </xf>
    <xf numFmtId="37" fontId="15" fillId="8" borderId="12" xfId="0" applyNumberFormat="1" applyFont="1" applyFill="1" applyBorder="1" applyAlignment="1">
      <alignment horizontal="center" vertical="center"/>
    </xf>
    <xf numFmtId="37" fontId="15" fillId="0" borderId="12" xfId="0" applyNumberFormat="1" applyFont="1" applyFill="1" applyBorder="1" applyAlignment="1">
      <alignment horizontal="center" vertical="center"/>
    </xf>
    <xf numFmtId="0" fontId="2" fillId="0" borderId="0" xfId="0" applyFont="1" applyFill="1"/>
    <xf numFmtId="37" fontId="2" fillId="0" borderId="0" xfId="0" applyNumberFormat="1" applyFont="1" applyFill="1"/>
    <xf numFmtId="0" fontId="3" fillId="0" borderId="0" xfId="78" applyNumberFormat="1" applyFont="1" applyFill="1" applyBorder="1" applyAlignment="1">
      <alignment horizontal="left"/>
    </xf>
    <xf numFmtId="0" fontId="3" fillId="0" borderId="33" xfId="78" applyNumberFormat="1" applyFont="1" applyFill="1" applyBorder="1" applyAlignment="1">
      <alignment horizontal="left" wrapText="1"/>
    </xf>
    <xf numFmtId="4" fontId="3" fillId="8" borderId="43" xfId="53" applyNumberFormat="1" applyFont="1" applyFill="1" applyBorder="1" applyAlignment="1">
      <alignment horizontal="center" vertical="center"/>
    </xf>
    <xf numFmtId="4" fontId="3" fillId="0" borderId="0" xfId="53" applyNumberFormat="1" applyFont="1" applyFill="1" applyBorder="1" applyAlignment="1">
      <alignment horizontal="center" vertical="center"/>
    </xf>
    <xf numFmtId="4" fontId="3" fillId="0" borderId="25" xfId="53" applyNumberFormat="1" applyFont="1" applyFill="1" applyBorder="1" applyAlignment="1">
      <alignment horizontal="center" vertical="center"/>
    </xf>
    <xf numFmtId="172" fontId="3" fillId="0" borderId="0" xfId="125" applyNumberFormat="1" applyFont="1" applyBorder="1"/>
    <xf numFmtId="178" fontId="3" fillId="0" borderId="0" xfId="126" applyFont="1"/>
    <xf numFmtId="173" fontId="15" fillId="0" borderId="0" xfId="126" applyNumberFormat="1" applyFont="1" applyAlignment="1">
      <alignment horizontal="center"/>
    </xf>
    <xf numFmtId="178" fontId="15" fillId="0" borderId="0" xfId="126" applyFont="1" applyBorder="1"/>
    <xf numFmtId="178" fontId="61" fillId="0" borderId="0" xfId="127" applyFont="1" applyAlignment="1">
      <alignment horizontal="right"/>
    </xf>
    <xf numFmtId="37" fontId="3" fillId="0" borderId="0" xfId="125" applyNumberFormat="1" applyFont="1" applyBorder="1" applyAlignment="1">
      <alignment horizontal="center"/>
    </xf>
    <xf numFmtId="178" fontId="3" fillId="8" borderId="20" xfId="126" applyFont="1" applyFill="1" applyBorder="1" applyAlignment="1">
      <alignment horizontal="center"/>
    </xf>
    <xf numFmtId="195" fontId="3" fillId="8" borderId="30" xfId="125" quotePrefix="1" applyNumberFormat="1" applyFont="1" applyFill="1" applyBorder="1" applyAlignment="1">
      <alignment horizontal="center"/>
    </xf>
    <xf numFmtId="0" fontId="15" fillId="0" borderId="0" xfId="127" applyNumberFormat="1" applyFont="1" applyBorder="1"/>
    <xf numFmtId="3" fontId="3" fillId="8" borderId="0" xfId="125" applyNumberFormat="1" applyFont="1" applyFill="1" applyBorder="1" applyAlignment="1">
      <alignment horizontal="center" vertical="center"/>
    </xf>
    <xf numFmtId="172" fontId="3" fillId="0" borderId="0" xfId="125" applyNumberFormat="1" applyFont="1" applyFill="1" applyBorder="1"/>
    <xf numFmtId="172" fontId="3" fillId="8" borderId="0" xfId="125" applyNumberFormat="1" applyFont="1" applyFill="1" applyBorder="1"/>
    <xf numFmtId="172" fontId="15" fillId="0" borderId="0" xfId="125" applyNumberFormat="1" applyFont="1" applyBorder="1"/>
    <xf numFmtId="172" fontId="3" fillId="0" borderId="0" xfId="125" applyNumberFormat="1" applyFont="1" applyBorder="1" applyAlignment="1">
      <alignment horizontal="left" indent="1"/>
    </xf>
    <xf numFmtId="172" fontId="15" fillId="0" borderId="0" xfId="125" applyNumberFormat="1" applyFont="1" applyBorder="1" applyAlignment="1">
      <alignment horizontal="left" indent="1"/>
    </xf>
    <xf numFmtId="172" fontId="3" fillId="0" borderId="0" xfId="125" applyNumberFormat="1" applyFont="1" applyFill="1" applyBorder="1" applyAlignment="1">
      <alignment horizontal="left" indent="1"/>
    </xf>
    <xf numFmtId="172" fontId="15" fillId="0" borderId="0" xfId="125" applyNumberFormat="1" applyFont="1" applyFill="1" applyBorder="1"/>
    <xf numFmtId="172" fontId="15" fillId="0" borderId="0" xfId="125" applyNumberFormat="1" applyFont="1" applyFill="1" applyBorder="1" applyAlignment="1">
      <alignment horizontal="left" indent="1"/>
    </xf>
    <xf numFmtId="172" fontId="3" fillId="0" borderId="0" xfId="125" applyNumberFormat="1" applyFont="1" applyFill="1" applyBorder="1" applyAlignment="1">
      <alignment horizontal="left" wrapText="1" indent="1"/>
    </xf>
    <xf numFmtId="172" fontId="3" fillId="0" borderId="0" xfId="53" applyNumberFormat="1" applyFont="1" applyFill="1" applyBorder="1" applyAlignment="1">
      <alignment vertical="center"/>
    </xf>
    <xf numFmtId="172" fontId="3" fillId="8" borderId="0" xfId="53" applyNumberFormat="1" applyFont="1" applyFill="1" applyBorder="1" applyAlignment="1">
      <alignment vertical="center"/>
    </xf>
    <xf numFmtId="178" fontId="15" fillId="0" borderId="0" xfId="126" applyFont="1"/>
    <xf numFmtId="172" fontId="15" fillId="0" borderId="0" xfId="125" applyNumberFormat="1" applyFont="1" applyBorder="1" applyAlignment="1">
      <alignment horizontal="left"/>
    </xf>
    <xf numFmtId="178" fontId="3" fillId="0" borderId="0" xfId="126" applyFont="1" applyBorder="1"/>
    <xf numFmtId="37" fontId="3" fillId="0" borderId="0" xfId="126" applyNumberFormat="1" applyFont="1" applyAlignment="1">
      <alignment horizontal="center" vertical="center"/>
    </xf>
    <xf numFmtId="0" fontId="15" fillId="5" borderId="0" xfId="127" applyNumberFormat="1" applyFont="1" applyFill="1" applyBorder="1" applyAlignment="1">
      <alignment vertical="center"/>
    </xf>
    <xf numFmtId="2" fontId="15" fillId="0" borderId="0" xfId="126" applyNumberFormat="1" applyFont="1" applyAlignment="1">
      <alignment horizontal="left"/>
    </xf>
    <xf numFmtId="195" fontId="3" fillId="8" borderId="30" xfId="125" quotePrefix="1" applyNumberFormat="1" applyFont="1" applyFill="1" applyBorder="1" applyAlignment="1">
      <alignment horizontal="center" vertical="center"/>
    </xf>
    <xf numFmtId="178" fontId="3" fillId="8" borderId="20" xfId="126" applyFont="1" applyFill="1" applyBorder="1"/>
    <xf numFmtId="178" fontId="3" fillId="0" borderId="20" xfId="126" applyFont="1" applyFill="1" applyBorder="1"/>
    <xf numFmtId="178" fontId="3" fillId="8" borderId="39" xfId="126" applyFont="1" applyFill="1" applyBorder="1"/>
    <xf numFmtId="178" fontId="3" fillId="0" borderId="39" xfId="126" applyFont="1" applyFill="1" applyBorder="1"/>
    <xf numFmtId="37" fontId="15" fillId="8" borderId="39" xfId="129" applyNumberFormat="1" applyFont="1" applyFill="1" applyBorder="1" applyAlignment="1">
      <alignment horizontal="center" vertical="center"/>
    </xf>
    <xf numFmtId="37" fontId="15" fillId="0" borderId="39" xfId="129" applyNumberFormat="1" applyFont="1" applyFill="1" applyBorder="1" applyAlignment="1">
      <alignment horizontal="center" vertical="center"/>
    </xf>
    <xf numFmtId="178" fontId="3" fillId="8" borderId="39" xfId="126" applyFont="1" applyFill="1" applyBorder="1" applyAlignment="1">
      <alignment horizontal="center" vertical="center"/>
    </xf>
    <xf numFmtId="178" fontId="3" fillId="0" borderId="39" xfId="126" applyFont="1" applyFill="1" applyBorder="1" applyAlignment="1">
      <alignment horizontal="center" vertical="center"/>
    </xf>
    <xf numFmtId="37" fontId="3" fillId="8" borderId="39" xfId="126" applyNumberFormat="1" applyFont="1" applyFill="1" applyBorder="1" applyAlignment="1">
      <alignment horizontal="center" vertical="center"/>
    </xf>
    <xf numFmtId="37" fontId="3" fillId="0" borderId="39" xfId="126" applyNumberFormat="1" applyFont="1" applyFill="1" applyBorder="1" applyAlignment="1">
      <alignment horizontal="center" vertical="center"/>
    </xf>
    <xf numFmtId="196" fontId="3" fillId="8" borderId="39" xfId="126" applyNumberFormat="1" applyFont="1" applyFill="1" applyBorder="1" applyAlignment="1">
      <alignment horizontal="center" vertical="center"/>
    </xf>
    <xf numFmtId="196" fontId="3" fillId="0" borderId="39" xfId="126" applyNumberFormat="1" applyFont="1" applyFill="1" applyBorder="1" applyAlignment="1">
      <alignment horizontal="center" vertical="center"/>
    </xf>
    <xf numFmtId="37" fontId="15" fillId="8" borderId="39" xfId="126" applyNumberFormat="1" applyFont="1" applyFill="1" applyBorder="1" applyAlignment="1">
      <alignment horizontal="center" vertical="center"/>
    </xf>
    <xf numFmtId="37" fontId="15" fillId="0" borderId="39" xfId="126" applyNumberFormat="1" applyFont="1" applyFill="1" applyBorder="1" applyAlignment="1">
      <alignment horizontal="center" vertical="center"/>
    </xf>
    <xf numFmtId="178" fontId="15" fillId="0" borderId="0" xfId="126" applyFont="1" applyAlignment="1">
      <alignment wrapText="1"/>
    </xf>
    <xf numFmtId="37" fontId="15" fillId="8" borderId="43" xfId="126" applyNumberFormat="1" applyFont="1" applyFill="1" applyBorder="1" applyAlignment="1">
      <alignment horizontal="center" vertical="center"/>
    </xf>
    <xf numFmtId="37" fontId="15" fillId="0" borderId="43" xfId="126" applyNumberFormat="1" applyFont="1" applyFill="1" applyBorder="1" applyAlignment="1">
      <alignment horizontal="center" vertical="center"/>
    </xf>
    <xf numFmtId="178" fontId="3" fillId="0" borderId="0" xfId="126" applyFont="1" applyFill="1"/>
    <xf numFmtId="37" fontId="3" fillId="0" borderId="0" xfId="126" applyNumberFormat="1" applyFont="1" applyFill="1" applyAlignment="1">
      <alignment horizontal="center" vertical="center"/>
    </xf>
    <xf numFmtId="197" fontId="3" fillId="0" borderId="0" xfId="126" applyNumberFormat="1" applyFont="1"/>
    <xf numFmtId="172" fontId="3" fillId="0" borderId="0" xfId="125" quotePrefix="1" applyNumberFormat="1" applyFont="1" applyFill="1" applyBorder="1" applyAlignment="1">
      <alignment horizontal="left" indent="1"/>
    </xf>
    <xf numFmtId="0" fontId="3" fillId="0" borderId="0" xfId="0" applyFont="1" applyFill="1" applyAlignment="1">
      <alignment vertical="center"/>
    </xf>
    <xf numFmtId="178" fontId="22" fillId="0" borderId="21" xfId="126" applyFont="1" applyFill="1" applyBorder="1" applyAlignment="1">
      <alignment horizontal="left"/>
    </xf>
    <xf numFmtId="178" fontId="3" fillId="5" borderId="21" xfId="126" applyFont="1" applyFill="1" applyBorder="1" applyAlignment="1">
      <alignment horizontal="left" indent="2"/>
    </xf>
    <xf numFmtId="178" fontId="3" fillId="0" borderId="21" xfId="126" applyFont="1" applyFill="1" applyBorder="1" applyAlignment="1">
      <alignment horizontal="left" indent="2"/>
    </xf>
    <xf numFmtId="0" fontId="17" fillId="0" borderId="0" xfId="0" applyFont="1" applyFill="1" applyAlignment="1">
      <alignment horizontal="left" vertical="center" indent="6"/>
    </xf>
    <xf numFmtId="0" fontId="3" fillId="5" borderId="67" xfId="0" applyFont="1" applyFill="1" applyBorder="1" applyAlignment="1">
      <alignment horizontal="left"/>
    </xf>
    <xf numFmtId="178" fontId="3" fillId="0" borderId="0" xfId="126" applyFont="1" applyBorder="1" applyAlignment="1">
      <alignment horizontal="center"/>
    </xf>
    <xf numFmtId="37" fontId="17" fillId="0" borderId="0" xfId="53" applyNumberFormat="1" applyFont="1" applyFill="1" applyBorder="1" applyAlignment="1">
      <alignment horizontal="center"/>
    </xf>
    <xf numFmtId="1" fontId="15" fillId="5" borderId="0" xfId="0" applyNumberFormat="1" applyFont="1" applyFill="1" applyBorder="1"/>
    <xf numFmtId="1" fontId="3" fillId="0" borderId="0" xfId="126" applyNumberFormat="1" applyFont="1"/>
    <xf numFmtId="1" fontId="3" fillId="0" borderId="0" xfId="126" applyNumberFormat="1" applyFont="1" applyAlignment="1">
      <alignment horizontal="center" vertical="center"/>
    </xf>
    <xf numFmtId="1" fontId="3" fillId="0" borderId="0" xfId="126" applyNumberFormat="1" applyFont="1" applyBorder="1"/>
    <xf numFmtId="1" fontId="3" fillId="0" borderId="0" xfId="125" applyNumberFormat="1" applyFont="1" applyBorder="1"/>
    <xf numFmtId="1" fontId="3" fillId="0" borderId="0" xfId="77" applyNumberFormat="1" applyFont="1" applyBorder="1"/>
    <xf numFmtId="1" fontId="3" fillId="0" borderId="0" xfId="55" applyNumberFormat="1" applyFont="1" applyBorder="1" applyAlignment="1">
      <alignment horizontal="center" vertical="center"/>
    </xf>
    <xf numFmtId="1" fontId="3" fillId="0" borderId="0" xfId="55" applyNumberFormat="1" applyFont="1" applyFill="1" applyBorder="1" applyAlignment="1">
      <alignment horizontal="center" vertical="center"/>
    </xf>
    <xf numFmtId="1" fontId="16" fillId="5" borderId="0" xfId="0" applyNumberFormat="1" applyFont="1" applyFill="1"/>
    <xf numFmtId="194" fontId="3" fillId="0" borderId="0" xfId="126" applyNumberFormat="1" applyFont="1"/>
    <xf numFmtId="194" fontId="3" fillId="0" borderId="0" xfId="126" applyNumberFormat="1" applyFont="1" applyAlignment="1">
      <alignment horizontal="center" vertical="center"/>
    </xf>
    <xf numFmtId="194" fontId="3" fillId="0" borderId="0" xfId="126" applyNumberFormat="1" applyFont="1" applyBorder="1"/>
    <xf numFmtId="194" fontId="3" fillId="0" borderId="0" xfId="125" applyNumberFormat="1" applyFont="1" applyBorder="1"/>
    <xf numFmtId="194" fontId="3" fillId="0" borderId="0" xfId="77" applyNumberFormat="1" applyFont="1" applyBorder="1"/>
    <xf numFmtId="194" fontId="3" fillId="0" borderId="0" xfId="55" applyNumberFormat="1" applyFont="1" applyBorder="1" applyAlignment="1">
      <alignment horizontal="center" vertical="center"/>
    </xf>
    <xf numFmtId="194" fontId="3" fillId="0" borderId="0" xfId="55" applyNumberFormat="1" applyFont="1" applyFill="1" applyBorder="1" applyAlignment="1">
      <alignment horizontal="center" vertical="center"/>
    </xf>
    <xf numFmtId="194" fontId="16" fillId="5" borderId="0" xfId="0" applyNumberFormat="1" applyFont="1" applyFill="1"/>
    <xf numFmtId="174" fontId="3" fillId="8" borderId="40" xfId="91" applyNumberFormat="1" applyFont="1" applyFill="1" applyBorder="1" applyAlignment="1">
      <alignment horizontal="center"/>
    </xf>
    <xf numFmtId="174" fontId="3" fillId="0" borderId="40" xfId="91" applyNumberFormat="1" applyFont="1" applyFill="1" applyBorder="1" applyAlignment="1">
      <alignment horizontal="center"/>
    </xf>
    <xf numFmtId="178" fontId="3" fillId="0" borderId="0" xfId="96" applyFont="1" applyFill="1" applyBorder="1" applyAlignment="1">
      <alignment horizontal="left" wrapText="1"/>
    </xf>
    <xf numFmtId="0" fontId="17" fillId="0" borderId="0" xfId="0" applyFont="1" applyFill="1" applyBorder="1" applyAlignment="1">
      <alignment horizontal="left" vertical="center"/>
    </xf>
    <xf numFmtId="0" fontId="17" fillId="5" borderId="0" xfId="0" applyFont="1" applyFill="1" applyBorder="1" applyAlignment="1">
      <alignment horizontal="right" vertical="top"/>
    </xf>
    <xf numFmtId="198" fontId="3" fillId="8" borderId="39" xfId="126" applyNumberFormat="1" applyFont="1" applyFill="1" applyBorder="1" applyAlignment="1">
      <alignment horizontal="center" vertical="center"/>
    </xf>
    <xf numFmtId="43" fontId="16" fillId="0" borderId="0" xfId="53" applyFont="1" applyFill="1" applyBorder="1"/>
    <xf numFmtId="0" fontId="16" fillId="0" borderId="0" xfId="0" applyFont="1" applyFill="1" applyBorder="1" applyAlignment="1">
      <alignment vertical="center"/>
    </xf>
    <xf numFmtId="195" fontId="3" fillId="0" borderId="30" xfId="56" quotePrefix="1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wrapText="1"/>
    </xf>
    <xf numFmtId="0" fontId="15" fillId="0" borderId="9" xfId="0" applyFont="1" applyFill="1" applyBorder="1"/>
    <xf numFmtId="0" fontId="16" fillId="8" borderId="69" xfId="0" applyFont="1" applyFill="1" applyBorder="1" applyAlignment="1">
      <alignment horizontal="center" vertical="center" wrapText="1"/>
    </xf>
    <xf numFmtId="178" fontId="3" fillId="5" borderId="0" xfId="126" applyFont="1" applyFill="1" applyBorder="1" applyAlignment="1">
      <alignment horizontal="center" vertical="center"/>
    </xf>
    <xf numFmtId="178" fontId="3" fillId="5" borderId="11" xfId="126" applyFont="1" applyFill="1" applyBorder="1" applyAlignment="1">
      <alignment horizontal="center" vertical="center"/>
    </xf>
    <xf numFmtId="178" fontId="17" fillId="5" borderId="11" xfId="126" applyFont="1" applyFill="1" applyBorder="1" applyAlignment="1">
      <alignment horizontal="center" vertical="center"/>
    </xf>
    <xf numFmtId="178" fontId="3" fillId="0" borderId="33" xfId="126" applyFont="1" applyBorder="1" applyAlignment="1">
      <alignment horizontal="center"/>
    </xf>
    <xf numFmtId="37" fontId="17" fillId="0" borderId="59" xfId="53" applyNumberFormat="1" applyFont="1" applyFill="1" applyBorder="1" applyAlignment="1">
      <alignment horizontal="center"/>
    </xf>
    <xf numFmtId="37" fontId="3" fillId="0" borderId="59" xfId="0" applyNumberFormat="1" applyFont="1" applyFill="1" applyBorder="1" applyAlignment="1">
      <alignment horizontal="center"/>
    </xf>
    <xf numFmtId="37" fontId="3" fillId="0" borderId="59" xfId="53" applyNumberFormat="1" applyFont="1" applyFill="1" applyBorder="1" applyAlignment="1">
      <alignment horizontal="center"/>
    </xf>
    <xf numFmtId="37" fontId="3" fillId="0" borderId="62" xfId="0" applyNumberFormat="1" applyFont="1" applyFill="1" applyBorder="1" applyAlignment="1">
      <alignment horizontal="center"/>
    </xf>
    <xf numFmtId="37" fontId="3" fillId="0" borderId="62" xfId="53" applyNumberFormat="1" applyFont="1" applyFill="1" applyBorder="1" applyAlignment="1">
      <alignment horizontal="center"/>
    </xf>
    <xf numFmtId="37" fontId="17" fillId="0" borderId="62" xfId="53" applyNumberFormat="1" applyFont="1" applyFill="1" applyBorder="1" applyAlignment="1">
      <alignment horizontal="center"/>
    </xf>
    <xf numFmtId="37" fontId="17" fillId="8" borderId="45" xfId="53" applyNumberFormat="1" applyFont="1" applyFill="1" applyBorder="1" applyAlignment="1">
      <alignment horizontal="center"/>
    </xf>
    <xf numFmtId="37" fontId="3" fillId="0" borderId="71" xfId="0" applyNumberFormat="1" applyFont="1" applyFill="1" applyBorder="1" applyAlignment="1">
      <alignment horizontal="center"/>
    </xf>
    <xf numFmtId="174" fontId="18" fillId="8" borderId="39" xfId="90" applyNumberFormat="1" applyFont="1" applyFill="1" applyBorder="1" applyAlignment="1">
      <alignment horizontal="center" vertical="center"/>
    </xf>
    <xf numFmtId="37" fontId="15" fillId="8" borderId="39" xfId="0" applyNumberFormat="1" applyFont="1" applyFill="1" applyBorder="1" applyAlignment="1">
      <alignment horizontal="center" vertical="center"/>
    </xf>
    <xf numFmtId="37" fontId="16" fillId="0" borderId="0" xfId="0" applyNumberFormat="1" applyFont="1" applyFill="1" applyBorder="1" applyAlignment="1">
      <alignment horizontal="center" vertical="center"/>
    </xf>
    <xf numFmtId="174" fontId="18" fillId="0" borderId="0" xfId="90" applyNumberFormat="1" applyFont="1" applyFill="1" applyBorder="1" applyAlignment="1">
      <alignment horizontal="center" vertical="center"/>
    </xf>
    <xf numFmtId="37" fontId="15" fillId="0" borderId="0" xfId="0" applyNumberFormat="1" applyFont="1" applyFill="1" applyBorder="1" applyAlignment="1">
      <alignment horizontal="center" vertical="center"/>
    </xf>
    <xf numFmtId="178" fontId="15" fillId="0" borderId="72" xfId="81" applyFont="1" applyFill="1" applyBorder="1" applyAlignment="1">
      <alignment horizontal="left"/>
    </xf>
    <xf numFmtId="172" fontId="15" fillId="8" borderId="73" xfId="53" applyNumberFormat="1" applyFont="1" applyFill="1" applyBorder="1" applyAlignment="1">
      <alignment horizontal="center" vertical="center"/>
    </xf>
    <xf numFmtId="172" fontId="3" fillId="0" borderId="0" xfId="128" applyNumberFormat="1" applyFont="1" applyFill="1" applyBorder="1" applyAlignment="1">
      <alignment horizontal="left" vertical="top" wrapText="1"/>
    </xf>
    <xf numFmtId="172" fontId="3" fillId="0" borderId="0" xfId="128" applyNumberFormat="1" applyFont="1" applyFill="1" applyBorder="1" applyAlignment="1">
      <alignment horizontal="left" vertical="top"/>
    </xf>
    <xf numFmtId="172" fontId="15" fillId="0" borderId="0" xfId="128" applyNumberFormat="1" applyFont="1" applyFill="1" applyBorder="1" applyAlignment="1">
      <alignment horizontal="left" vertical="top" wrapText="1"/>
    </xf>
    <xf numFmtId="172" fontId="15" fillId="0" borderId="0" xfId="128" applyNumberFormat="1" applyFont="1" applyFill="1" applyBorder="1" applyAlignment="1">
      <alignment horizontal="left"/>
    </xf>
    <xf numFmtId="37" fontId="3" fillId="0" borderId="0" xfId="53" applyNumberFormat="1" applyFont="1" applyFill="1" applyBorder="1" applyAlignment="1">
      <alignment horizontal="center" vertical="center"/>
    </xf>
    <xf numFmtId="0" fontId="63" fillId="0" borderId="0" xfId="0" applyFont="1" applyAlignment="1">
      <alignment horizontal="center" wrapText="1"/>
    </xf>
    <xf numFmtId="0" fontId="17" fillId="0" borderId="0" xfId="0" applyFont="1" applyAlignment="1">
      <alignment horizontal="left" vertical="top" wrapText="1"/>
    </xf>
    <xf numFmtId="0" fontId="3" fillId="0" borderId="0" xfId="94" applyFont="1" applyFill="1" applyBorder="1" applyAlignment="1">
      <alignment horizontal="left" vertical="center"/>
    </xf>
    <xf numFmtId="0" fontId="17" fillId="5" borderId="0" xfId="54" applyNumberFormat="1" applyFont="1" applyFill="1" applyBorder="1" applyAlignment="1" applyProtection="1">
      <alignment horizontal="left" vertical="center" wrapText="1" indent="1"/>
      <protection locked="0"/>
    </xf>
    <xf numFmtId="0" fontId="17" fillId="0" borderId="0" xfId="0" applyFont="1" applyBorder="1" applyAlignment="1">
      <alignment horizontal="left" vertical="top" wrapText="1"/>
    </xf>
    <xf numFmtId="0" fontId="17" fillId="5" borderId="0" xfId="0" applyFont="1" applyFill="1"/>
    <xf numFmtId="0" fontId="17" fillId="5" borderId="0" xfId="0" applyFont="1" applyFill="1" applyAlignment="1">
      <alignment horizontal="left" vertical="center" wrapText="1"/>
    </xf>
    <xf numFmtId="0" fontId="63" fillId="0" borderId="0" xfId="0" applyFont="1" applyFill="1" applyBorder="1"/>
    <xf numFmtId="0" fontId="64" fillId="0" borderId="0" xfId="0" applyFont="1" applyFill="1" applyBorder="1"/>
    <xf numFmtId="178" fontId="3" fillId="0" borderId="0" xfId="126" applyFont="1" applyFill="1" applyBorder="1"/>
    <xf numFmtId="37" fontId="3" fillId="0" borderId="0" xfId="0" applyNumberFormat="1" applyFont="1" applyFill="1" applyBorder="1" applyAlignment="1">
      <alignment horizontal="center" vertical="center"/>
    </xf>
    <xf numFmtId="0" fontId="64" fillId="0" borderId="0" xfId="0" applyFont="1" applyFill="1" applyBorder="1" applyAlignment="1">
      <alignment wrapText="1"/>
    </xf>
    <xf numFmtId="37" fontId="15" fillId="0" borderId="0" xfId="53" applyNumberFormat="1" applyFont="1" applyFill="1" applyBorder="1" applyAlignment="1">
      <alignment horizontal="center" vertical="center"/>
    </xf>
    <xf numFmtId="37" fontId="65" fillId="5" borderId="0" xfId="0" applyNumberFormat="1" applyFont="1" applyFill="1" applyBorder="1" applyAlignment="1">
      <alignment horizontal="left" vertical="center" wrapText="1"/>
    </xf>
    <xf numFmtId="1" fontId="3" fillId="0" borderId="0" xfId="77" applyNumberFormat="1" applyFont="1" applyAlignment="1">
      <alignment horizontal="center" vertical="center"/>
    </xf>
    <xf numFmtId="0" fontId="15" fillId="0" borderId="0" xfId="78" applyNumberFormat="1" applyFont="1" applyFill="1" applyAlignment="1">
      <alignment horizontal="left" vertical="center" wrapText="1"/>
    </xf>
    <xf numFmtId="178" fontId="15" fillId="0" borderId="0" xfId="77" applyFont="1" applyAlignment="1">
      <alignment vertical="center"/>
    </xf>
    <xf numFmtId="37" fontId="15" fillId="0" borderId="0" xfId="77" applyNumberFormat="1" applyFont="1" applyAlignment="1">
      <alignment vertical="center"/>
    </xf>
    <xf numFmtId="37" fontId="3" fillId="10" borderId="39" xfId="126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wrapText="1"/>
    </xf>
    <xf numFmtId="0" fontId="3" fillId="8" borderId="0" xfId="0" applyFont="1" applyFill="1" applyBorder="1" applyAlignment="1">
      <alignment horizontal="center" vertical="center" wrapText="1"/>
    </xf>
    <xf numFmtId="0" fontId="3" fillId="8" borderId="39" xfId="78" applyNumberFormat="1" applyFont="1" applyFill="1" applyBorder="1" applyAlignment="1">
      <alignment horizontal="center" vertical="center" wrapText="1"/>
    </xf>
    <xf numFmtId="0" fontId="3" fillId="8" borderId="30" xfId="78" applyNumberFormat="1" applyFont="1" applyFill="1" applyBorder="1" applyAlignment="1">
      <alignment horizontal="center" vertical="center" wrapText="1"/>
    </xf>
    <xf numFmtId="195" fontId="3" fillId="8" borderId="20" xfId="55" quotePrefix="1" applyNumberFormat="1" applyFont="1" applyFill="1" applyBorder="1" applyAlignment="1">
      <alignment horizontal="center" vertical="center"/>
    </xf>
    <xf numFmtId="195" fontId="3" fillId="8" borderId="30" xfId="55" quotePrefix="1" applyNumberFormat="1" applyFont="1" applyFill="1" applyBorder="1" applyAlignment="1">
      <alignment horizontal="center" vertical="center"/>
    </xf>
    <xf numFmtId="172" fontId="3" fillId="8" borderId="51" xfId="54" applyNumberFormat="1" applyFont="1" applyFill="1" applyBorder="1" applyAlignment="1">
      <alignment horizontal="center" vertical="center"/>
    </xf>
    <xf numFmtId="172" fontId="3" fillId="8" borderId="50" xfId="54" applyNumberFormat="1" applyFont="1" applyFill="1" applyBorder="1" applyAlignment="1">
      <alignment horizontal="center" vertical="center"/>
    </xf>
    <xf numFmtId="172" fontId="3" fillId="8" borderId="52" xfId="54" applyNumberFormat="1" applyFont="1" applyFill="1" applyBorder="1" applyAlignment="1">
      <alignment horizontal="center" vertical="center"/>
    </xf>
    <xf numFmtId="0" fontId="3" fillId="8" borderId="24" xfId="127" applyNumberFormat="1" applyFont="1" applyFill="1" applyBorder="1" applyAlignment="1" applyProtection="1">
      <alignment horizontal="center" vertical="center" wrapText="1"/>
    </xf>
    <xf numFmtId="0" fontId="3" fillId="8" borderId="51" xfId="127" applyNumberFormat="1" applyFont="1" applyFill="1" applyBorder="1" applyAlignment="1" applyProtection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178" fontId="3" fillId="8" borderId="20" xfId="126" applyFont="1" applyFill="1" applyBorder="1" applyAlignment="1">
      <alignment horizontal="center" vertical="center"/>
    </xf>
    <xf numFmtId="178" fontId="3" fillId="8" borderId="30" xfId="126" applyFont="1" applyFill="1" applyBorder="1" applyAlignment="1">
      <alignment horizontal="center" vertical="center"/>
    </xf>
    <xf numFmtId="172" fontId="3" fillId="8" borderId="53" xfId="128" applyNumberFormat="1" applyFont="1" applyFill="1" applyBorder="1" applyAlignment="1">
      <alignment horizontal="center" vertical="center"/>
    </xf>
    <xf numFmtId="172" fontId="3" fillId="8" borderId="54" xfId="128" applyNumberFormat="1" applyFont="1" applyFill="1" applyBorder="1" applyAlignment="1">
      <alignment horizontal="center" vertical="center"/>
    </xf>
    <xf numFmtId="172" fontId="3" fillId="8" borderId="55" xfId="128" applyNumberFormat="1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 wrapText="1"/>
    </xf>
    <xf numFmtId="0" fontId="16" fillId="8" borderId="56" xfId="0" applyFont="1" applyFill="1" applyBorder="1" applyAlignment="1">
      <alignment horizontal="center" vertical="center" wrapText="1"/>
    </xf>
    <xf numFmtId="0" fontId="16" fillId="8" borderId="19" xfId="0" applyFont="1" applyFill="1" applyBorder="1" applyAlignment="1">
      <alignment horizontal="center" vertical="center" wrapText="1"/>
    </xf>
    <xf numFmtId="0" fontId="16" fillId="8" borderId="57" xfId="80" applyFont="1" applyFill="1" applyBorder="1" applyAlignment="1">
      <alignment horizontal="center"/>
    </xf>
    <xf numFmtId="0" fontId="16" fillId="8" borderId="58" xfId="80" applyFont="1" applyFill="1" applyBorder="1" applyAlignment="1">
      <alignment horizontal="center"/>
    </xf>
    <xf numFmtId="0" fontId="17" fillId="0" borderId="68" xfId="0" applyFont="1" applyBorder="1" applyAlignment="1">
      <alignment horizontal="center" vertical="center" wrapText="1"/>
    </xf>
    <xf numFmtId="0" fontId="3" fillId="8" borderId="56" xfId="0" applyFont="1" applyFill="1" applyBorder="1" applyAlignment="1">
      <alignment horizontal="center" vertical="center" wrapText="1"/>
    </xf>
    <xf numFmtId="0" fontId="3" fillId="8" borderId="57" xfId="80" applyFont="1" applyFill="1" applyBorder="1" applyAlignment="1">
      <alignment horizontal="center"/>
    </xf>
    <xf numFmtId="0" fontId="3" fillId="8" borderId="58" xfId="80" applyFont="1" applyFill="1" applyBorder="1" applyAlignment="1">
      <alignment horizontal="center"/>
    </xf>
    <xf numFmtId="0" fontId="3" fillId="5" borderId="66" xfId="0" applyFont="1" applyFill="1" applyBorder="1" applyAlignment="1">
      <alignment horizontal="left" vertical="top" wrapText="1"/>
    </xf>
    <xf numFmtId="0" fontId="3" fillId="5" borderId="66" xfId="0" applyFont="1" applyFill="1" applyBorder="1" applyAlignment="1">
      <alignment horizontal="left" vertical="center" wrapText="1"/>
    </xf>
    <xf numFmtId="0" fontId="65" fillId="5" borderId="66" xfId="0" applyFont="1" applyFill="1" applyBorder="1" applyAlignment="1">
      <alignment horizontal="left" vertical="center" wrapText="1"/>
    </xf>
    <xf numFmtId="0" fontId="17" fillId="0" borderId="68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7" fillId="0" borderId="68" xfId="0" applyFont="1" applyBorder="1" applyAlignment="1">
      <alignment horizontal="left" vertical="center" wrapText="1"/>
    </xf>
    <xf numFmtId="0" fontId="16" fillId="8" borderId="60" xfId="80" applyFont="1" applyFill="1" applyBorder="1" applyAlignment="1">
      <alignment horizontal="center" vertical="center" wrapText="1"/>
    </xf>
    <xf numFmtId="0" fontId="16" fillId="8" borderId="17" xfId="80" applyFont="1" applyFill="1" applyBorder="1" applyAlignment="1">
      <alignment horizontal="center" vertical="center" wrapText="1"/>
    </xf>
    <xf numFmtId="0" fontId="16" fillId="8" borderId="59" xfId="0" applyFont="1" applyFill="1" applyBorder="1" applyAlignment="1">
      <alignment horizontal="center" vertical="center" wrapText="1"/>
    </xf>
    <xf numFmtId="0" fontId="65" fillId="0" borderId="66" xfId="0" applyFont="1" applyFill="1" applyBorder="1" applyAlignment="1">
      <alignment horizontal="left" vertical="center" wrapText="1"/>
    </xf>
    <xf numFmtId="0" fontId="16" fillId="0" borderId="59" xfId="0" applyFont="1" applyFill="1" applyBorder="1" applyAlignment="1">
      <alignment horizontal="center" vertical="center" wrapText="1"/>
    </xf>
    <xf numFmtId="0" fontId="16" fillId="0" borderId="60" xfId="80" applyFont="1" applyFill="1" applyBorder="1" applyAlignment="1">
      <alignment horizontal="center" vertical="center" wrapText="1"/>
    </xf>
    <xf numFmtId="0" fontId="16" fillId="0" borderId="17" xfId="80" applyFont="1" applyFill="1" applyBorder="1" applyAlignment="1">
      <alignment horizontal="center" vertical="center" wrapText="1"/>
    </xf>
    <xf numFmtId="0" fontId="16" fillId="8" borderId="18" xfId="80" applyFont="1" applyFill="1" applyBorder="1" applyAlignment="1">
      <alignment horizontal="center" vertical="center" wrapText="1"/>
    </xf>
    <xf numFmtId="0" fontId="16" fillId="8" borderId="61" xfId="0" applyFont="1" applyFill="1" applyBorder="1" applyAlignment="1">
      <alignment horizontal="center" vertical="center" wrapText="1"/>
    </xf>
    <xf numFmtId="0" fontId="3" fillId="8" borderId="59" xfId="8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5" borderId="70" xfId="0" applyFont="1" applyFill="1" applyBorder="1" applyAlignment="1">
      <alignment horizontal="left" vertical="center" wrapText="1"/>
    </xf>
  </cellXfs>
  <cellStyles count="130">
    <cellStyle name="          _x000d__x000a_shell=progman.exe_x000d__x000a_m" xfId="1"/>
    <cellStyle name="%" xfId="2"/>
    <cellStyle name=",." xfId="3"/>
    <cellStyle name="??" xfId="4"/>
    <cellStyle name="?? [0.00]_PRODUCT DETAIL Q1" xfId="5"/>
    <cellStyle name="?? [0]" xfId="6"/>
    <cellStyle name="???? [0.00]_PRODUCT DETAIL Q1" xfId="7"/>
    <cellStyle name="????_PRODUCT DETAIL Q1" xfId="8"/>
    <cellStyle name="???[0]_Book1" xfId="9"/>
    <cellStyle name="???_95" xfId="10"/>
    <cellStyle name="??_(????)??????" xfId="11"/>
    <cellStyle name="\" xfId="12"/>
    <cellStyle name="_BML_Punjab_June'04" xfId="13"/>
    <cellStyle name="_Detail Report-REG &amp; FTH" xfId="14"/>
    <cellStyle name="_ESOP_Exercisable options_March'05" xfId="15"/>
    <cellStyle name="_ESOP_Weighted avg. ex. period_March'05" xfId="16"/>
    <cellStyle name="_Fas 157 &amp; 159" xfId="17"/>
    <cellStyle name="_Sheet1" xfId="18"/>
    <cellStyle name="_Sheet1_1" xfId="19"/>
    <cellStyle name="_Sheet2" xfId="20"/>
    <cellStyle name="_Sheet2_1" xfId="21"/>
    <cellStyle name="_Sheet2_1_Sheet2" xfId="22"/>
    <cellStyle name="_Sheet3" xfId="23"/>
    <cellStyle name="=C:\WINNT\SYSTEM32\COMMAND.COM" xfId="24"/>
    <cellStyle name="=F:\WINNT\SYSTEM32\COMMAND.COM" xfId="25"/>
    <cellStyle name="0,0_x000d__x000a_NA_x000d__x000a_" xfId="26"/>
    <cellStyle name="0,0_x000d__x000a_NA_x000d__x000a_ 2" xfId="27"/>
    <cellStyle name="1" xfId="28"/>
    <cellStyle name="18" xfId="29"/>
    <cellStyle name="2" xfId="30"/>
    <cellStyle name="3" xfId="31"/>
    <cellStyle name="4" xfId="32"/>
    <cellStyle name="6" xfId="33"/>
    <cellStyle name="ÅëÈ­ [0]_¿ì¹°Åë" xfId="34"/>
    <cellStyle name="AeE­ [0]_INQUIRY ¿µ¾÷AßAø " xfId="35"/>
    <cellStyle name="ÅëÈ­ [0]_S" xfId="36"/>
    <cellStyle name="ÅëÈ­_¿ì¹°Åë" xfId="37"/>
    <cellStyle name="AeE­_INQUIRY ¿µ¾÷AßAø " xfId="38"/>
    <cellStyle name="ÅëÈ­_S" xfId="39"/>
    <cellStyle name="APPEAR" xfId="40"/>
    <cellStyle name="ÄÞ¸¶ [0]_¿ì¹°Åë" xfId="41"/>
    <cellStyle name="AÞ¸¶ [0]_INQUIRY ¿?¾÷AßAø " xfId="42"/>
    <cellStyle name="ÄÞ¸¶ [0]_S" xfId="43"/>
    <cellStyle name="ÄÞ¸¶_¿ì¹°Åë" xfId="44"/>
    <cellStyle name="AÞ¸¶_INQUIRY ¿?¾÷AßAø " xfId="45"/>
    <cellStyle name="ÄÞ¸¶_S" xfId="46"/>
    <cellStyle name="BKWmas" xfId="47"/>
    <cellStyle name="Body" xfId="48"/>
    <cellStyle name="C?AØ_¿?¾÷CoE² " xfId="49"/>
    <cellStyle name="Ç¥ÁØ_´çÃÊ±¸ÀÔ»ý»ê" xfId="50"/>
    <cellStyle name="C￥AØ_¿μ¾÷CoE² " xfId="51"/>
    <cellStyle name="Ç¥ÁØ_S" xfId="52"/>
    <cellStyle name="Comma" xfId="53" builtinId="3"/>
    <cellStyle name="Comma 2" xfId="54"/>
    <cellStyle name="Comma 2 2" xfId="128"/>
    <cellStyle name="Comma 3" xfId="55"/>
    <cellStyle name="Comma 3 2" xfId="129"/>
    <cellStyle name="Comma_IFRS_Segment_Consol_BAL_March 2009" xfId="56"/>
    <cellStyle name="Comma_IFRS_Segment_Consol_BAL_March 2009 2" xfId="125"/>
    <cellStyle name="Comma0" xfId="57"/>
    <cellStyle name="COMPS" xfId="58"/>
    <cellStyle name="Currency0" xfId="59"/>
    <cellStyle name="DATA_ENT" xfId="60"/>
    <cellStyle name="Date" xfId="61"/>
    <cellStyle name="Dezimal [0]_Compiling Utility Macros" xfId="62"/>
    <cellStyle name="Dezimal_Compiling Utility Macros" xfId="63"/>
    <cellStyle name="DOWNFOOT" xfId="64"/>
    <cellStyle name="Euro" xfId="65"/>
    <cellStyle name="Fixed" xfId="66"/>
    <cellStyle name="Header1" xfId="67"/>
    <cellStyle name="Header2" xfId="68"/>
    <cellStyle name="HIDE" xfId="69"/>
    <cellStyle name="Hyperlink" xfId="70" builtinId="8"/>
    <cellStyle name="LineItemValue" xfId="71"/>
    <cellStyle name="MARK" xfId="72"/>
    <cellStyle name="n" xfId="73"/>
    <cellStyle name="no dec" xfId="74"/>
    <cellStyle name="Nor}al" xfId="75"/>
    <cellStyle name="Normal" xfId="0" builtinId="0"/>
    <cellStyle name="Normal - Style1" xfId="76"/>
    <cellStyle name="Normal 2" xfId="77"/>
    <cellStyle name="Normal 2 2" xfId="126"/>
    <cellStyle name="Normal 3" xfId="78"/>
    <cellStyle name="Normal 3 2" xfId="127"/>
    <cellStyle name="Normal 4" xfId="79"/>
    <cellStyle name="Normal_Reconciliation" xfId="80"/>
    <cellStyle name="Normal_US GAAP_Consolidation_BTVL_3 Year_2002-03" xfId="81"/>
    <cellStyle name="Normal_US GAAP_Consolidation_BTVL_September'08_Print Pack" xfId="82"/>
    <cellStyle name="oft Excel]_x000d__x000a_Comment=The open=/f lines load custom functions into the Paste Function list._x000d__x000a_Maximized=2_x000d__x000a_Basics=1_x000d__x000a_A" xfId="83"/>
    <cellStyle name="oft Excel]_x000d__x000a_Comment=The open=/f lines load custom functions into the Paste Function list._x000d__x000a_Maximized=3_x000d__x000a_Basics=1_x000d__x000a_A" xfId="84"/>
    <cellStyle name="Output Amounts" xfId="85"/>
    <cellStyle name="Output Column Headings" xfId="86"/>
    <cellStyle name="Output Line Items" xfId="87"/>
    <cellStyle name="Output Report Heading" xfId="88"/>
    <cellStyle name="Output Report Title" xfId="89"/>
    <cellStyle name="Percent" xfId="90" builtinId="5"/>
    <cellStyle name="Percent 2" xfId="91"/>
    <cellStyle name="s]_x000d__x000a_spooler=yes_x000d__x000a_load=_x000d__x000a_Beep=yes_x000d__x000a_NullPort=None_x000d__x000a_BorderWidth=3_x000d__x000a_CursorBlinkRate=1200_x000d__x000a_DoubleClickSpeed=452_x000d__x000a_Programs=co" xfId="92"/>
    <cellStyle name="Standard_Anpassen der Amortisation" xfId="93"/>
    <cellStyle name="Style 1" xfId="94"/>
    <cellStyle name="Style 1 2" xfId="95"/>
    <cellStyle name="Style 1 3" xfId="96"/>
    <cellStyle name="þ_x001d_ð·_x000c_æþ'_x000d_ßþU_x0001_Ø_x0005_ü_x0014__x0007__x0001__x0001_" xfId="97"/>
    <cellStyle name="Währung [0]_Compiling Utility Macros" xfId="98"/>
    <cellStyle name="Währung_Compiling Utility Macros" xfId="99"/>
    <cellStyle name="xuan" xfId="100"/>
    <cellStyle name=" [0.00]_ Att. 1- Cover" xfId="101"/>
    <cellStyle name="_ Att. 1- Cover" xfId="102"/>
    <cellStyle name="?_ Att. 1- Cover" xfId="103"/>
    <cellStyle name="똿뗦먛귟 [0.00]_PRODUCT DETAIL Q1" xfId="104"/>
    <cellStyle name="똿뗦먛귟_PRODUCT DETAIL Q1" xfId="105"/>
    <cellStyle name="믅됞 [0.00]_PRODUCT DETAIL Q1" xfId="106"/>
    <cellStyle name="믅됞_PRODUCT DETAIL Q1" xfId="107"/>
    <cellStyle name="백분율_95" xfId="108"/>
    <cellStyle name="뷭?_BOOKSHIP" xfId="109"/>
    <cellStyle name="콤마 [0]_1202" xfId="110"/>
    <cellStyle name="콤마_1202" xfId="111"/>
    <cellStyle name="통화 [0]_1202" xfId="112"/>
    <cellStyle name="통화_1202" xfId="113"/>
    <cellStyle name="표준_(정보부문)월별인원계획" xfId="114"/>
    <cellStyle name="一般_00Q3902REV.1" xfId="115"/>
    <cellStyle name="千分位[0]_00Q3902REV.1" xfId="116"/>
    <cellStyle name="千分位_00Q3902REV.1" xfId="117"/>
    <cellStyle name="桁区切り [0.00]_7月5日提出（HZM）" xfId="118"/>
    <cellStyle name="桁区切り_08-00 NET Summary" xfId="119"/>
    <cellStyle name="標準_(A1)BOQ " xfId="120"/>
    <cellStyle name="貨幣 [0]_00Q3902REV.1" xfId="121"/>
    <cellStyle name="貨幣[0]_BRE" xfId="122"/>
    <cellStyle name="貨幣_00Q3902REV.1" xfId="123"/>
    <cellStyle name="非表示" xfId="12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PA\Backup%20files\Q4FY10%20-%20Mar\Financial%20Trends\IR%20Pack%20-%20FR\Qtly%20FRA%20Pack%201st%20cut\Financial%20Format-USGAAP-Trends%20file_Q3FY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EW%20K%20DRIVE\Investor%20Relations%20Function\Working%20Folders\Quarterly%20Results\FY%202005\Q4FY05-%20MARCH\Financial\Financial%20Forma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obility\MIS\MAPA\May%202003\Forecast\Mobility%20Business%20Plan%202003-04%20-%20Ver%204.5%20-%20Final%20-%20KP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. 1"/>
      <sheetName val="Table - Snapshot"/>
      <sheetName val="3.1.1 Consolidated P&amp;L Sum "/>
      <sheetName val="3.1.2 Consolidated BS Sum"/>
      <sheetName val="3.2.1 Mobile Services"/>
      <sheetName val="3.2.2 Non-mobile Services"/>
      <sheetName val="3.2.3 B&amp;T Services"/>
      <sheetName val="3.2.4 Enterprise service consol"/>
      <sheetName val="3.2.4.1 ES - Carriers"/>
      <sheetName val="3.2.4.2 ES - Corporates"/>
      <sheetName val="3.2.5 Others"/>
      <sheetName val="3.2.6 Passive Infra Services-B"/>
      <sheetName val="3.2.6 Passive Infra Services"/>
      <sheetName val="3.2.7 DTH"/>
      <sheetName val="3.3.1 Investment In projects "/>
      <sheetName val="3.3.2 Rev, EBITDA &amp; Capex (Q)"/>
      <sheetName val="3.3.2 Rev, EBITDA &amp; Capex (YTD)"/>
      <sheetName val="A.1.1 Consolidated P&amp;L "/>
      <sheetName val="A.1.2 Consolidated BS "/>
      <sheetName val="A.1.3 Cash Flow new "/>
      <sheetName val="A.2 Trends &amp; Ratios"/>
      <sheetName val="A.4 Consol P&amp;L - IGAAP"/>
      <sheetName val="A.5 Recon IGAAP vs. US GAAP"/>
      <sheetName val="A.2.4 three line graph"/>
      <sheetName val="7.1.1 BA Consol Recon"/>
      <sheetName val="7.1.2 Mobile Services"/>
      <sheetName val="7.1.3 Non-mobile Services"/>
      <sheetName val="7.1.4 B&amp;T"/>
      <sheetName val="7.1.5 Enterprise services conso"/>
      <sheetName val="7.1.5. ES-Carriers"/>
      <sheetName val="7.1.6 ES-Corporates "/>
      <sheetName val="7.1.7 Others"/>
      <sheetName val="7.1.8 Passive Infra Services"/>
      <sheetName val="7.1.9 DTH"/>
      <sheetName val="7.2.1 Sch of Costs of Services"/>
      <sheetName val="7.2.2 Depreciation"/>
      <sheetName val="7.2.3 Int exp-income"/>
      <sheetName val="7.2.4 Income tax "/>
      <sheetName val="Sch. 2"/>
      <sheetName val="Pub Rts 2.1 Consol summary"/>
      <sheetName val="Pub Rts 2.2 IGAAP Financial."/>
      <sheetName val="Pub Rts 2.2 IGAAP Financial"/>
      <sheetName val="Pub Rts 2.2A Seg report consol"/>
      <sheetName val="Pub Rts 2.3 Recon IGAAP vs US"/>
      <sheetName val="Pub Rts 2.4 Stand alone Rlts"/>
      <sheetName val="Pub Rts 2.5 Seg reporting (S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 1"/>
      <sheetName val="2.1.1 Consolidated P&amp;L Sum "/>
      <sheetName val="2.1.2 Consolidated BS Sum"/>
      <sheetName val="2.2.1 Mobile Services"/>
      <sheetName val="2.2.2 Infotel Service"/>
      <sheetName val="2.2.2.1 Fixed Line"/>
      <sheetName val="2.2.2.2 Long Distance"/>
      <sheetName val="2.2.2.3 Enterprise Business"/>
      <sheetName val="2.2.3 Others"/>
      <sheetName val="2.3.1 Investment In projects "/>
      <sheetName val="2.3.2 Rev, EBITDA &amp; Capex (Q)"/>
      <sheetName val="2.3.2 Rev, EBITDA &amp; Capex (YTD)"/>
      <sheetName val="A1.1 Consolidated P&amp;L "/>
      <sheetName val="A1.2 Consolidated BS "/>
      <sheetName val="A1.3 Cash Flow new "/>
      <sheetName val="A1.4 Trends &amp; Ratios"/>
      <sheetName val="A1.6 Consol P&amp;L - IGAAP"/>
      <sheetName val="A1.7 Recon IGAAP vs. IFRS "/>
      <sheetName val="6.1.1 BTVL Consol Recon"/>
      <sheetName val="6.1.2 Mobile Services"/>
      <sheetName val="6.1.3 Infotel Services"/>
      <sheetName val="6.1.4 Fixed line"/>
      <sheetName val="6.1.5 Long distance"/>
      <sheetName val="6.1.6 Enterprise Business "/>
      <sheetName val="6.1.7 Others"/>
      <sheetName val="6.2.1 Schedule of Other Costs"/>
      <sheetName val="6.2.2 Depreciation"/>
      <sheetName val="6.2.3 Finance cost "/>
      <sheetName val="6.2.4 Income tax "/>
      <sheetName val="Sch 2"/>
      <sheetName val="Pub Rts 1.1 Consol. Financial "/>
      <sheetName val="Pub Rts 1.2 IFRS Segment Info"/>
      <sheetName val="Pub Rts 1.3 IGAAP Financial"/>
      <sheetName val="Pub Rts 1.4Recon IGAAP vs. IFRS"/>
      <sheetName val="Pub Rts 1.5 Standalone"/>
      <sheetName val="Sch3"/>
      <sheetName val="Check Sheet 1"/>
      <sheetName val="Check Sheet 2"/>
      <sheetName val="Check Sheet 3 Pub Rts 1.2 IFRS "/>
      <sheetName val="Check sheet"/>
      <sheetName val="Capex - Hry"/>
      <sheetName val="Profile"/>
      <sheetName val="INNOVATION"/>
      <sheetName val="Factors"/>
      <sheetName val="factor sheet"/>
      <sheetName val="factor_sheet"/>
      <sheetName val="Index"/>
      <sheetName val="CONTROL"/>
      <sheetName val="database-NO"/>
      <sheetName val="Edge_Multiservice"/>
      <sheetName val="SWSUB_percentages"/>
      <sheetName val="PriceListAP"/>
      <sheetName val="MSU"/>
      <sheetName val="DSL-S"/>
      <sheetName val="LA- lookups"/>
      <sheetName val="Other assumptions"/>
      <sheetName val="Pub Rts 1_5 Standalo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s"/>
      <sheetName val="T.P&amp;L"/>
      <sheetName val="U.BS"/>
      <sheetName val="W.CF"/>
      <sheetName val="ecommerce"/>
      <sheetName val="Revenue Schedule"/>
      <sheetName val="Opex Schedule"/>
      <sheetName val="BS"/>
      <sheetName val="factor_sheet"/>
      <sheetName val="Ref"/>
      <sheetName val="Assumptions"/>
      <sheetName val="2000"/>
      <sheetName val="TOTAL"/>
      <sheetName val="currency"/>
      <sheetName val="Site wise NADs"/>
      <sheetName val="MD5500"/>
      <sheetName val="Edit(01)"/>
      <sheetName val="Dels"/>
      <sheetName val="Query Results ALL"/>
    </sheetNames>
    <sheetDataSet>
      <sheetData sheetId="0" refreshError="1">
        <row r="2">
          <cell r="AM2" t="str">
            <v>Business Plan 2003-04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9"/>
  <sheetViews>
    <sheetView tabSelected="1" view="pageBreakPreview" zoomScaleNormal="100" zoomScaleSheetLayoutView="100" workbookViewId="0">
      <selection activeCell="C3" sqref="C3"/>
    </sheetView>
  </sheetViews>
  <sheetFormatPr defaultColWidth="9.109375" defaultRowHeight="10.199999999999999"/>
  <cols>
    <col min="1" max="16384" width="9.109375" style="11"/>
  </cols>
  <sheetData>
    <row r="1" spans="1:5">
      <c r="A1" s="77"/>
      <c r="C1" s="13" t="s">
        <v>30</v>
      </c>
    </row>
    <row r="2" spans="1:5">
      <c r="C2" s="12" t="s">
        <v>145</v>
      </c>
    </row>
    <row r="6" spans="1:5">
      <c r="C6" s="16" t="s">
        <v>12</v>
      </c>
      <c r="E6" s="11" t="s">
        <v>13</v>
      </c>
    </row>
    <row r="7" spans="1:5">
      <c r="C7" s="17"/>
    </row>
    <row r="8" spans="1:5">
      <c r="C8" s="21" t="s">
        <v>16</v>
      </c>
    </row>
    <row r="9" spans="1:5" ht="5.0999999999999996" customHeight="1">
      <c r="C9" s="21"/>
    </row>
    <row r="10" spans="1:5" ht="12">
      <c r="C10" s="14">
        <v>1</v>
      </c>
      <c r="E10" s="15" t="s">
        <v>146</v>
      </c>
    </row>
    <row r="11" spans="1:5">
      <c r="C11" s="14"/>
    </row>
    <row r="12" spans="1:5" ht="12">
      <c r="C12" s="14">
        <v>2</v>
      </c>
      <c r="E12" s="15" t="s">
        <v>147</v>
      </c>
    </row>
    <row r="13" spans="1:5">
      <c r="C13" s="14"/>
    </row>
    <row r="14" spans="1:5" ht="12">
      <c r="C14" s="14">
        <v>3</v>
      </c>
      <c r="E14" s="15" t="s">
        <v>148</v>
      </c>
    </row>
    <row r="15" spans="1:5">
      <c r="C15" s="14"/>
    </row>
    <row r="16" spans="1:5" ht="12">
      <c r="C16" s="14">
        <v>4</v>
      </c>
      <c r="E16" s="15" t="s">
        <v>32</v>
      </c>
    </row>
    <row r="17" spans="3:5">
      <c r="C17" s="14"/>
    </row>
    <row r="18" spans="3:5" ht="12">
      <c r="C18" s="14">
        <v>5</v>
      </c>
      <c r="E18" s="15" t="s">
        <v>57</v>
      </c>
    </row>
    <row r="19" spans="3:5">
      <c r="C19" s="14"/>
    </row>
    <row r="21" spans="3:5">
      <c r="C21" s="21" t="s">
        <v>17</v>
      </c>
    </row>
    <row r="22" spans="3:5" ht="5.0999999999999996" customHeight="1"/>
    <row r="23" spans="3:5" ht="12">
      <c r="C23" s="14">
        <v>6</v>
      </c>
      <c r="E23" s="15" t="s">
        <v>18</v>
      </c>
    </row>
    <row r="133" spans="3:7">
      <c r="C133" s="456"/>
      <c r="D133" s="456"/>
      <c r="E133" s="456"/>
      <c r="F133" s="456"/>
      <c r="G133" s="456"/>
    </row>
    <row r="159" spans="3:7">
      <c r="C159" s="464"/>
      <c r="D159" s="464"/>
      <c r="E159" s="464"/>
      <c r="F159" s="464"/>
      <c r="G159" s="464"/>
    </row>
  </sheetData>
  <phoneticPr fontId="3" type="noConversion"/>
  <hyperlinks>
    <hyperlink ref="E10" location="'Trends file-1'!A3" display="Consolidated Statements of Operations"/>
    <hyperlink ref="E12" location="'Trends file-2 '!A3" display="Consolidated Balance Sheet as per Indian Accounting Standards (Ind-AS)"/>
    <hyperlink ref="E14" location="'Trends file-3'!A3" display="Consolidated summarised Statement of Operations and Segmental Information "/>
    <hyperlink ref="E18" location="'Trends file-5-SCH'!A3" display="Schedules to Consolidated Statement of Operations "/>
    <hyperlink ref="E23" location="'Trends file-6-Ops'!A3" display="Operational Performance"/>
    <hyperlink ref="E16" location="'Trends file-4'!A3" display="Consolidated Summarised Statement of Operations (net of inter segment eliminations)"/>
  </hyperlinks>
  <pageMargins left="0.25" right="0" top="1" bottom="1" header="0.5" footer="0.5"/>
  <pageSetup paperSize="9" scale="80" orientation="portrait" horizontalDpi="300" verticalDpi="300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66"/>
  <sheetViews>
    <sheetView showGridLines="0" view="pageBreakPreview" zoomScaleNormal="100" zoomScaleSheetLayoutView="100" workbookViewId="0">
      <selection activeCell="B7" sqref="B7:B9"/>
    </sheetView>
  </sheetViews>
  <sheetFormatPr defaultColWidth="9.109375" defaultRowHeight="10.199999999999999"/>
  <cols>
    <col min="1" max="1" width="6.5546875" style="44" customWidth="1"/>
    <col min="2" max="2" width="56" style="47" customWidth="1"/>
    <col min="3" max="5" width="8.6640625" style="47" customWidth="1"/>
    <col min="6" max="6" width="8.6640625" style="49" customWidth="1"/>
    <col min="7" max="7" width="8.6640625" style="48" customWidth="1"/>
    <col min="8" max="8" width="2" style="44" customWidth="1"/>
    <col min="9" max="10" width="0" style="44" hidden="1" customWidth="1"/>
    <col min="11" max="16384" width="9.109375" style="44"/>
  </cols>
  <sheetData>
    <row r="1" spans="1:10" ht="12">
      <c r="A1" s="264" t="s">
        <v>13</v>
      </c>
      <c r="B1" s="43" t="s">
        <v>37</v>
      </c>
      <c r="C1" s="43"/>
      <c r="D1" s="43"/>
      <c r="E1" s="43"/>
    </row>
    <row r="2" spans="1:10">
      <c r="F2" s="43"/>
      <c r="G2" s="43"/>
    </row>
    <row r="3" spans="1:10">
      <c r="A3" s="344">
        <v>1</v>
      </c>
      <c r="B3" s="43" t="s">
        <v>193</v>
      </c>
      <c r="C3" s="43"/>
      <c r="D3" s="43"/>
      <c r="E3" s="43"/>
      <c r="F3" s="43"/>
      <c r="G3" s="43"/>
    </row>
    <row r="4" spans="1:10">
      <c r="A4" s="345"/>
      <c r="B4" s="43"/>
      <c r="C4" s="43"/>
      <c r="D4" s="43"/>
      <c r="E4" s="43"/>
      <c r="F4" s="43"/>
      <c r="G4" s="43"/>
    </row>
    <row r="5" spans="1:10">
      <c r="A5" s="344">
        <f>A3+0.1</f>
        <v>1.1000000000000001</v>
      </c>
      <c r="B5" s="43" t="s">
        <v>231</v>
      </c>
      <c r="C5" s="43"/>
      <c r="D5" s="43"/>
      <c r="E5" s="43"/>
      <c r="F5" s="43"/>
      <c r="G5" s="43"/>
    </row>
    <row r="6" spans="1:10" ht="12">
      <c r="A6" s="97"/>
      <c r="F6" s="45"/>
      <c r="G6" s="244" t="s">
        <v>192</v>
      </c>
    </row>
    <row r="7" spans="1:10" ht="12.75" customHeight="1">
      <c r="A7" s="97"/>
      <c r="B7" s="522" t="s">
        <v>0</v>
      </c>
      <c r="C7" s="526" t="s">
        <v>1</v>
      </c>
      <c r="D7" s="527"/>
      <c r="E7" s="527"/>
      <c r="F7" s="527"/>
      <c r="G7" s="528"/>
    </row>
    <row r="8" spans="1:10" ht="11.25" customHeight="1">
      <c r="A8" s="97"/>
      <c r="B8" s="522"/>
      <c r="C8" s="524">
        <v>44651</v>
      </c>
      <c r="D8" s="524">
        <v>44561</v>
      </c>
      <c r="E8" s="524">
        <v>44469</v>
      </c>
      <c r="F8" s="524">
        <v>44377</v>
      </c>
      <c r="G8" s="524">
        <v>44286</v>
      </c>
    </row>
    <row r="9" spans="1:10" ht="11.25" customHeight="1">
      <c r="A9" s="97"/>
      <c r="B9" s="523"/>
      <c r="C9" s="525"/>
      <c r="D9" s="525"/>
      <c r="E9" s="525"/>
      <c r="F9" s="525"/>
      <c r="G9" s="525"/>
    </row>
    <row r="10" spans="1:10">
      <c r="A10" s="268"/>
      <c r="B10" s="279" t="s">
        <v>155</v>
      </c>
      <c r="C10" s="170"/>
      <c r="D10" s="243"/>
      <c r="E10" s="170"/>
      <c r="F10" s="243"/>
      <c r="G10" s="170"/>
      <c r="I10" s="83"/>
      <c r="J10" s="83"/>
    </row>
    <row r="11" spans="1:10">
      <c r="A11" s="268"/>
      <c r="B11" s="45" t="s">
        <v>244</v>
      </c>
      <c r="C11" s="285">
        <v>315003</v>
      </c>
      <c r="D11" s="294">
        <v>298666</v>
      </c>
      <c r="E11" s="285">
        <v>283264</v>
      </c>
      <c r="F11" s="294">
        <v>268536</v>
      </c>
      <c r="G11" s="285">
        <v>257473</v>
      </c>
      <c r="I11" s="83"/>
      <c r="J11" s="83"/>
    </row>
    <row r="12" spans="1:10">
      <c r="A12" s="268"/>
      <c r="B12" s="45" t="s">
        <v>229</v>
      </c>
      <c r="C12" s="285">
        <v>186</v>
      </c>
      <c r="D12" s="294">
        <v>1971</v>
      </c>
      <c r="E12" s="285">
        <v>1088</v>
      </c>
      <c r="F12" s="294">
        <v>2098</v>
      </c>
      <c r="G12" s="285">
        <v>839.30000000000018</v>
      </c>
      <c r="I12" s="83"/>
      <c r="J12" s="83"/>
    </row>
    <row r="13" spans="1:10" hidden="1">
      <c r="A13" s="268"/>
      <c r="B13" s="45" t="s">
        <v>156</v>
      </c>
      <c r="C13" s="285"/>
      <c r="D13" s="294"/>
      <c r="E13" s="285"/>
      <c r="F13" s="294"/>
      <c r="G13" s="285"/>
      <c r="I13" s="83"/>
      <c r="J13" s="83"/>
    </row>
    <row r="14" spans="1:10" s="50" customFormat="1" collapsed="1">
      <c r="A14" s="268"/>
      <c r="B14" s="280" t="s">
        <v>245</v>
      </c>
      <c r="C14" s="286">
        <v>315189</v>
      </c>
      <c r="D14" s="295">
        <v>300637</v>
      </c>
      <c r="E14" s="286">
        <v>284352</v>
      </c>
      <c r="F14" s="295">
        <v>270634</v>
      </c>
      <c r="G14" s="286">
        <v>258312.3</v>
      </c>
      <c r="I14" s="84"/>
      <c r="J14" s="322"/>
    </row>
    <row r="15" spans="1:10" s="275" customFormat="1" ht="5.0999999999999996" customHeight="1">
      <c r="A15" s="268"/>
      <c r="B15" s="270"/>
      <c r="C15" s="285"/>
      <c r="D15" s="294"/>
      <c r="E15" s="285"/>
      <c r="F15" s="294"/>
      <c r="G15" s="285"/>
      <c r="H15" s="44"/>
      <c r="I15" s="289"/>
      <c r="J15" s="290"/>
    </row>
    <row r="16" spans="1:10">
      <c r="A16" s="268"/>
      <c r="B16" s="279" t="s">
        <v>157</v>
      </c>
      <c r="C16" s="285"/>
      <c r="D16" s="294"/>
      <c r="E16" s="285"/>
      <c r="F16" s="294"/>
      <c r="G16" s="285"/>
      <c r="I16" s="83"/>
      <c r="J16" s="83"/>
    </row>
    <row r="17" spans="1:10">
      <c r="A17" s="268"/>
      <c r="B17" s="281" t="s">
        <v>159</v>
      </c>
      <c r="C17" s="285">
        <v>65458</v>
      </c>
      <c r="D17" s="294">
        <v>64986</v>
      </c>
      <c r="E17" s="285">
        <v>61788</v>
      </c>
      <c r="F17" s="294">
        <v>57973</v>
      </c>
      <c r="G17" s="285">
        <v>59179</v>
      </c>
      <c r="I17" s="83"/>
      <c r="J17" s="83"/>
    </row>
    <row r="18" spans="1:10">
      <c r="A18" s="268"/>
      <c r="B18" s="281" t="s">
        <v>158</v>
      </c>
      <c r="C18" s="285">
        <v>17505</v>
      </c>
      <c r="D18" s="294">
        <v>17232</v>
      </c>
      <c r="E18" s="285">
        <v>16708</v>
      </c>
      <c r="F18" s="294">
        <v>16166</v>
      </c>
      <c r="G18" s="285">
        <v>15649</v>
      </c>
      <c r="I18" s="83"/>
      <c r="J18" s="83"/>
    </row>
    <row r="19" spans="1:10">
      <c r="A19" s="268"/>
      <c r="B19" s="281" t="s">
        <v>230</v>
      </c>
      <c r="C19" s="285">
        <v>30089</v>
      </c>
      <c r="D19" s="294">
        <v>27298</v>
      </c>
      <c r="E19" s="285">
        <v>26794</v>
      </c>
      <c r="F19" s="294">
        <v>26455</v>
      </c>
      <c r="G19" s="285">
        <v>25011.904949</v>
      </c>
      <c r="I19" s="83"/>
      <c r="J19" s="83"/>
    </row>
    <row r="20" spans="1:10" hidden="1" collapsed="1">
      <c r="A20" s="268"/>
      <c r="B20" s="282"/>
      <c r="C20" s="285">
        <v>0</v>
      </c>
      <c r="D20" s="294">
        <v>0</v>
      </c>
      <c r="E20" s="285">
        <v>0</v>
      </c>
      <c r="F20" s="294">
        <v>0</v>
      </c>
      <c r="G20" s="285">
        <v>0</v>
      </c>
      <c r="I20" s="83"/>
      <c r="J20" s="323"/>
    </row>
    <row r="21" spans="1:10" collapsed="1">
      <c r="A21" s="268"/>
      <c r="B21" s="281" t="s">
        <v>187</v>
      </c>
      <c r="C21" s="285">
        <v>11642</v>
      </c>
      <c r="D21" s="294">
        <v>11336</v>
      </c>
      <c r="E21" s="285">
        <v>11010</v>
      </c>
      <c r="F21" s="294">
        <v>10345</v>
      </c>
      <c r="G21" s="285">
        <v>9989</v>
      </c>
      <c r="I21" s="83"/>
      <c r="J21" s="83"/>
    </row>
    <row r="22" spans="1:10">
      <c r="A22" s="268"/>
      <c r="B22" s="281" t="s">
        <v>198</v>
      </c>
      <c r="C22" s="285">
        <v>15327</v>
      </c>
      <c r="D22" s="294">
        <v>14425</v>
      </c>
      <c r="E22" s="285">
        <v>12670</v>
      </c>
      <c r="F22" s="294">
        <v>10613</v>
      </c>
      <c r="G22" s="285">
        <v>11484</v>
      </c>
      <c r="I22" s="83"/>
      <c r="J22" s="83"/>
    </row>
    <row r="23" spans="1:10">
      <c r="A23" s="268"/>
      <c r="B23" s="281" t="s">
        <v>132</v>
      </c>
      <c r="C23" s="285">
        <v>14579</v>
      </c>
      <c r="D23" s="294">
        <v>16361</v>
      </c>
      <c r="E23" s="285">
        <v>16189</v>
      </c>
      <c r="F23" s="294">
        <v>17181</v>
      </c>
      <c r="G23" s="285">
        <v>12840.658017000002</v>
      </c>
      <c r="I23" s="83"/>
      <c r="J23" s="83"/>
    </row>
    <row r="24" spans="1:10" s="275" customFormat="1" ht="5.0999999999999996" customHeight="1">
      <c r="A24" s="268"/>
      <c r="B24" s="270"/>
      <c r="C24" s="285"/>
      <c r="D24" s="294"/>
      <c r="E24" s="285"/>
      <c r="F24" s="294"/>
      <c r="G24" s="285"/>
      <c r="H24" s="44"/>
      <c r="I24" s="289"/>
      <c r="J24" s="290"/>
    </row>
    <row r="25" spans="1:10" s="50" customFormat="1">
      <c r="A25" s="268"/>
      <c r="B25" s="283" t="s">
        <v>245</v>
      </c>
      <c r="C25" s="286">
        <v>154600</v>
      </c>
      <c r="D25" s="295">
        <v>151638</v>
      </c>
      <c r="E25" s="286">
        <v>145159</v>
      </c>
      <c r="F25" s="295">
        <v>138733</v>
      </c>
      <c r="G25" s="286">
        <v>134153.562966</v>
      </c>
      <c r="I25" s="84"/>
      <c r="J25" s="84"/>
    </row>
    <row r="26" spans="1:10" s="275" customFormat="1" ht="5.0999999999999996" customHeight="1">
      <c r="A26" s="268"/>
      <c r="B26" s="270"/>
      <c r="C26" s="285"/>
      <c r="D26" s="294"/>
      <c r="E26" s="285"/>
      <c r="F26" s="294"/>
      <c r="G26" s="285"/>
      <c r="H26" s="44"/>
      <c r="I26" s="289"/>
      <c r="J26" s="290"/>
    </row>
    <row r="27" spans="1:10" hidden="1">
      <c r="A27" s="268"/>
      <c r="B27" s="96"/>
      <c r="C27" s="296"/>
      <c r="D27" s="297"/>
      <c r="E27" s="296"/>
      <c r="F27" s="297"/>
      <c r="G27" s="296"/>
      <c r="I27" s="83"/>
      <c r="J27" s="83"/>
    </row>
    <row r="28" spans="1:10" s="517" customFormat="1" ht="28.5" customHeight="1" collapsed="1">
      <c r="A28" s="515"/>
      <c r="B28" s="516" t="s">
        <v>341</v>
      </c>
      <c r="C28" s="286">
        <v>160589</v>
      </c>
      <c r="D28" s="295">
        <v>148999</v>
      </c>
      <c r="E28" s="286">
        <v>139193</v>
      </c>
      <c r="F28" s="295">
        <v>131901</v>
      </c>
      <c r="G28" s="286">
        <v>124157.73703399999</v>
      </c>
      <c r="I28" s="518"/>
      <c r="J28" s="518"/>
    </row>
    <row r="29" spans="1:10" s="275" customFormat="1" ht="5.0999999999999996" customHeight="1">
      <c r="A29" s="268"/>
      <c r="B29" s="270"/>
      <c r="C29" s="285"/>
      <c r="D29" s="294"/>
      <c r="E29" s="285"/>
      <c r="F29" s="294"/>
      <c r="G29" s="285"/>
      <c r="H29" s="44"/>
      <c r="I29" s="289"/>
      <c r="J29" s="290"/>
    </row>
    <row r="30" spans="1:10" hidden="1">
      <c r="A30" s="268"/>
      <c r="B30" s="96"/>
      <c r="C30" s="285"/>
      <c r="D30" s="294"/>
      <c r="E30" s="285"/>
      <c r="F30" s="294"/>
      <c r="G30" s="285"/>
      <c r="I30" s="83"/>
      <c r="J30" s="83"/>
    </row>
    <row r="31" spans="1:10" collapsed="1">
      <c r="A31" s="268"/>
      <c r="B31" s="281" t="s">
        <v>188</v>
      </c>
      <c r="C31" s="285">
        <v>85826</v>
      </c>
      <c r="D31" s="294">
        <v>85472</v>
      </c>
      <c r="E31" s="285">
        <v>82472</v>
      </c>
      <c r="F31" s="294">
        <v>77137</v>
      </c>
      <c r="G31" s="285">
        <v>75019.149871999965</v>
      </c>
      <c r="I31" s="83"/>
      <c r="J31" s="83"/>
    </row>
    <row r="32" spans="1:10" s="50" customFormat="1">
      <c r="A32" s="268"/>
      <c r="B32" s="282" t="s">
        <v>70</v>
      </c>
      <c r="C32" s="285">
        <v>40593</v>
      </c>
      <c r="D32" s="294">
        <v>43671</v>
      </c>
      <c r="E32" s="285">
        <v>39641</v>
      </c>
      <c r="F32" s="294">
        <v>42257</v>
      </c>
      <c r="G32" s="285">
        <v>38606</v>
      </c>
      <c r="I32" s="83"/>
      <c r="J32" s="83"/>
    </row>
    <row r="33" spans="1:10" s="50" customFormat="1" hidden="1">
      <c r="A33" s="268"/>
      <c r="B33" s="282" t="s">
        <v>260</v>
      </c>
      <c r="C33" s="285">
        <v>0</v>
      </c>
      <c r="D33" s="294">
        <v>0</v>
      </c>
      <c r="E33" s="285">
        <v>0</v>
      </c>
      <c r="F33" s="294">
        <v>0</v>
      </c>
      <c r="G33" s="285">
        <v>0</v>
      </c>
      <c r="I33" s="83"/>
      <c r="J33" s="83"/>
    </row>
    <row r="34" spans="1:10" hidden="1">
      <c r="A34" s="268"/>
      <c r="B34" s="282" t="s">
        <v>156</v>
      </c>
      <c r="C34" s="285">
        <v>0</v>
      </c>
      <c r="D34" s="294">
        <v>0</v>
      </c>
      <c r="E34" s="285">
        <v>0</v>
      </c>
      <c r="F34" s="294">
        <v>0</v>
      </c>
      <c r="G34" s="285">
        <v>0</v>
      </c>
      <c r="I34" s="83"/>
      <c r="J34" s="83"/>
    </row>
    <row r="35" spans="1:10" hidden="1">
      <c r="A35" s="268"/>
      <c r="B35" s="281" t="s">
        <v>246</v>
      </c>
      <c r="C35" s="285">
        <v>0</v>
      </c>
      <c r="D35" s="294">
        <v>0</v>
      </c>
      <c r="E35" s="285">
        <v>0</v>
      </c>
      <c r="F35" s="294">
        <v>0</v>
      </c>
      <c r="G35" s="285">
        <v>0</v>
      </c>
      <c r="I35" s="83"/>
      <c r="J35" s="83"/>
    </row>
    <row r="36" spans="1:10" collapsed="1">
      <c r="A36" s="268"/>
      <c r="B36" s="282" t="s">
        <v>199</v>
      </c>
      <c r="C36" s="285">
        <v>-7136</v>
      </c>
      <c r="D36" s="294">
        <v>-6161</v>
      </c>
      <c r="E36" s="285">
        <v>-5988</v>
      </c>
      <c r="F36" s="294">
        <v>-4947</v>
      </c>
      <c r="G36" s="285">
        <v>-5274</v>
      </c>
      <c r="I36" s="83"/>
      <c r="J36" s="83"/>
    </row>
    <row r="37" spans="1:10" hidden="1">
      <c r="A37" s="268"/>
      <c r="B37" s="281" t="s">
        <v>160</v>
      </c>
      <c r="C37" s="286"/>
      <c r="D37" s="295"/>
      <c r="E37" s="286"/>
      <c r="F37" s="295"/>
      <c r="G37" s="286"/>
      <c r="I37" s="83"/>
      <c r="J37" s="83"/>
    </row>
    <row r="38" spans="1:10" s="275" customFormat="1" ht="5.0999999999999996" customHeight="1" collapsed="1">
      <c r="A38" s="268"/>
      <c r="B38" s="270"/>
      <c r="C38" s="285"/>
      <c r="D38" s="294"/>
      <c r="E38" s="285"/>
      <c r="F38" s="294"/>
      <c r="G38" s="285"/>
      <c r="H38" s="44"/>
      <c r="I38" s="289"/>
      <c r="J38" s="290"/>
    </row>
    <row r="39" spans="1:10" s="50" customFormat="1">
      <c r="A39" s="268"/>
      <c r="B39" s="279" t="s">
        <v>161</v>
      </c>
      <c r="C39" s="286">
        <v>41306</v>
      </c>
      <c r="D39" s="295">
        <v>26017</v>
      </c>
      <c r="E39" s="286">
        <v>23068</v>
      </c>
      <c r="F39" s="295">
        <v>17454</v>
      </c>
      <c r="G39" s="286">
        <v>15806.587162000025</v>
      </c>
      <c r="I39" s="84"/>
      <c r="J39" s="84"/>
    </row>
    <row r="40" spans="1:10" s="275" customFormat="1" ht="5.0999999999999996" customHeight="1">
      <c r="A40" s="268"/>
      <c r="B40" s="270"/>
      <c r="C40" s="285"/>
      <c r="D40" s="294"/>
      <c r="E40" s="285"/>
      <c r="F40" s="294"/>
      <c r="G40" s="285"/>
      <c r="H40" s="44"/>
      <c r="I40" s="289"/>
      <c r="J40" s="290"/>
    </row>
    <row r="41" spans="1:10" hidden="1">
      <c r="A41" s="268"/>
      <c r="B41" s="96"/>
      <c r="C41" s="285"/>
      <c r="D41" s="294"/>
      <c r="E41" s="285"/>
      <c r="F41" s="294"/>
      <c r="G41" s="285"/>
      <c r="I41" s="83"/>
      <c r="J41" s="83"/>
    </row>
    <row r="42" spans="1:10" collapsed="1">
      <c r="A42" s="268"/>
      <c r="B42" s="281" t="s">
        <v>162</v>
      </c>
      <c r="C42" s="285">
        <v>-9062</v>
      </c>
      <c r="D42" s="294">
        <v>-398</v>
      </c>
      <c r="E42" s="285">
        <v>-7221</v>
      </c>
      <c r="F42" s="294">
        <v>-305</v>
      </c>
      <c r="G42" s="285">
        <v>-4404</v>
      </c>
      <c r="I42" s="83"/>
      <c r="J42" s="83"/>
    </row>
    <row r="43" spans="1:10" s="275" customFormat="1" ht="5.0999999999999996" customHeight="1">
      <c r="A43" s="268"/>
      <c r="B43" s="270"/>
      <c r="C43" s="285"/>
      <c r="D43" s="294"/>
      <c r="E43" s="285"/>
      <c r="F43" s="294"/>
      <c r="G43" s="285"/>
      <c r="H43" s="44"/>
      <c r="I43" s="289"/>
      <c r="J43" s="290"/>
    </row>
    <row r="44" spans="1:10" hidden="1">
      <c r="A44" s="268"/>
      <c r="B44" s="96"/>
      <c r="C44" s="298"/>
      <c r="D44" s="298"/>
      <c r="E44" s="298"/>
      <c r="F44" s="299"/>
      <c r="G44" s="300"/>
    </row>
    <row r="45" spans="1:10" s="50" customFormat="1" ht="11.25" customHeight="1" collapsed="1">
      <c r="A45" s="268"/>
      <c r="B45" s="279" t="s">
        <v>66</v>
      </c>
      <c r="C45" s="286">
        <v>50368</v>
      </c>
      <c r="D45" s="304">
        <v>26415</v>
      </c>
      <c r="E45" s="286">
        <v>30289</v>
      </c>
      <c r="F45" s="304">
        <v>17759</v>
      </c>
      <c r="G45" s="286">
        <v>20210.587162000025</v>
      </c>
    </row>
    <row r="46" spans="1:10" s="275" customFormat="1" ht="5.0999999999999996" customHeight="1">
      <c r="A46" s="268"/>
      <c r="B46" s="270"/>
      <c r="C46" s="285"/>
      <c r="D46" s="294"/>
      <c r="E46" s="285"/>
      <c r="F46" s="294"/>
      <c r="G46" s="285"/>
      <c r="H46" s="44"/>
      <c r="I46" s="289"/>
      <c r="J46" s="290"/>
    </row>
    <row r="47" spans="1:10" hidden="1">
      <c r="A47" s="268"/>
      <c r="B47" s="96"/>
      <c r="C47" s="285"/>
      <c r="D47" s="298"/>
      <c r="E47" s="285"/>
      <c r="F47" s="299"/>
      <c r="G47" s="285"/>
    </row>
    <row r="48" spans="1:10" collapsed="1">
      <c r="A48" s="268"/>
      <c r="B48" s="279" t="s">
        <v>235</v>
      </c>
      <c r="C48" s="285"/>
      <c r="D48" s="298"/>
      <c r="E48" s="285"/>
      <c r="F48" s="299"/>
      <c r="G48" s="285"/>
    </row>
    <row r="49" spans="1:10">
      <c r="A49" s="268"/>
      <c r="B49" s="284" t="s">
        <v>163</v>
      </c>
      <c r="C49" s="285">
        <v>7765</v>
      </c>
      <c r="D49" s="298">
        <v>7922</v>
      </c>
      <c r="E49" s="285">
        <v>7370</v>
      </c>
      <c r="F49" s="299">
        <v>7274</v>
      </c>
      <c r="G49" s="285">
        <v>6457.9999999999991</v>
      </c>
    </row>
    <row r="50" spans="1:10">
      <c r="A50" s="268"/>
      <c r="B50" s="284" t="s">
        <v>236</v>
      </c>
      <c r="C50" s="285">
        <v>5453</v>
      </c>
      <c r="D50" s="298">
        <v>1986</v>
      </c>
      <c r="E50" s="285">
        <v>2938</v>
      </c>
      <c r="F50" s="299">
        <v>1071</v>
      </c>
      <c r="G50" s="285">
        <v>-1357</v>
      </c>
    </row>
    <row r="51" spans="1:10" s="275" customFormat="1" ht="5.0999999999999996" customHeight="1">
      <c r="A51" s="268"/>
      <c r="B51" s="270"/>
      <c r="C51" s="285"/>
      <c r="D51" s="294"/>
      <c r="E51" s="285"/>
      <c r="F51" s="294"/>
      <c r="G51" s="285"/>
      <c r="H51" s="44"/>
      <c r="I51" s="289"/>
      <c r="J51" s="290"/>
    </row>
    <row r="52" spans="1:10" hidden="1">
      <c r="A52" s="268"/>
      <c r="B52" s="96"/>
      <c r="C52" s="285"/>
      <c r="D52" s="298"/>
      <c r="E52" s="285"/>
      <c r="F52" s="299"/>
      <c r="G52" s="285"/>
    </row>
    <row r="53" spans="1:10" s="50" customFormat="1" collapsed="1">
      <c r="A53" s="268"/>
      <c r="B53" s="279" t="s">
        <v>134</v>
      </c>
      <c r="C53" s="286">
        <v>37150</v>
      </c>
      <c r="D53" s="301">
        <v>16507</v>
      </c>
      <c r="E53" s="286">
        <v>19981</v>
      </c>
      <c r="F53" s="302">
        <v>9414</v>
      </c>
      <c r="G53" s="286">
        <v>15109.587162000025</v>
      </c>
    </row>
    <row r="54" spans="1:10" s="50" customFormat="1" ht="4.5" customHeight="1">
      <c r="A54" s="268"/>
      <c r="B54" s="279"/>
      <c r="C54" s="286"/>
      <c r="D54" s="301"/>
      <c r="E54" s="286"/>
      <c r="F54" s="302"/>
      <c r="G54" s="286"/>
    </row>
    <row r="55" spans="1:10" s="50" customFormat="1" ht="4.5" customHeight="1">
      <c r="A55" s="268"/>
      <c r="B55" s="279"/>
      <c r="C55" s="286"/>
      <c r="D55" s="301"/>
      <c r="E55" s="286"/>
      <c r="F55" s="302"/>
      <c r="G55" s="286"/>
    </row>
    <row r="56" spans="1:10" s="50" customFormat="1">
      <c r="A56" s="268"/>
      <c r="B56" s="496" t="s">
        <v>316</v>
      </c>
      <c r="C56" s="286">
        <v>0</v>
      </c>
      <c r="D56" s="301">
        <v>0</v>
      </c>
      <c r="E56" s="286">
        <v>0</v>
      </c>
      <c r="F56" s="302">
        <v>0</v>
      </c>
      <c r="G56" s="286">
        <v>0</v>
      </c>
    </row>
    <row r="57" spans="1:10" s="50" customFormat="1">
      <c r="A57" s="268"/>
      <c r="B57" s="497" t="s">
        <v>317</v>
      </c>
      <c r="C57" s="286">
        <v>0</v>
      </c>
      <c r="D57" s="301">
        <v>0</v>
      </c>
      <c r="E57" s="286">
        <v>0</v>
      </c>
      <c r="F57" s="302">
        <v>0</v>
      </c>
      <c r="G57" s="286">
        <v>0</v>
      </c>
    </row>
    <row r="58" spans="1:10" s="50" customFormat="1">
      <c r="A58" s="268"/>
      <c r="B58" s="498" t="s">
        <v>318</v>
      </c>
      <c r="C58" s="286">
        <v>0</v>
      </c>
      <c r="D58" s="301">
        <v>0</v>
      </c>
      <c r="E58" s="286">
        <v>0</v>
      </c>
      <c r="F58" s="302">
        <v>0</v>
      </c>
      <c r="G58" s="286">
        <v>0</v>
      </c>
    </row>
    <row r="59" spans="1:10" s="50" customFormat="1" ht="4.5" customHeight="1">
      <c r="A59" s="268"/>
      <c r="B59" s="279"/>
      <c r="C59" s="286"/>
      <c r="D59" s="301"/>
      <c r="E59" s="286"/>
      <c r="F59" s="302"/>
      <c r="G59" s="286"/>
    </row>
    <row r="60" spans="1:10" s="50" customFormat="1">
      <c r="A60" s="268"/>
      <c r="B60" s="499" t="s">
        <v>319</v>
      </c>
      <c r="C60" s="286">
        <v>37150</v>
      </c>
      <c r="D60" s="301">
        <v>16507</v>
      </c>
      <c r="E60" s="286">
        <v>19981</v>
      </c>
      <c r="F60" s="302">
        <v>9414</v>
      </c>
      <c r="G60" s="286">
        <v>15109.587162000025</v>
      </c>
    </row>
    <row r="61" spans="1:10" s="275" customFormat="1" ht="5.0999999999999996" customHeight="1">
      <c r="A61" s="268"/>
      <c r="B61" s="270"/>
      <c r="C61" s="285"/>
      <c r="D61" s="294"/>
      <c r="E61" s="285"/>
      <c r="F61" s="294"/>
      <c r="G61" s="285"/>
      <c r="H61" s="44"/>
      <c r="I61" s="289"/>
      <c r="J61" s="290"/>
    </row>
    <row r="62" spans="1:10" s="291" customFormat="1" ht="5.0999999999999996" customHeight="1">
      <c r="A62" s="275"/>
      <c r="B62" s="287"/>
      <c r="C62" s="171"/>
      <c r="D62" s="287"/>
      <c r="E62" s="288"/>
      <c r="F62" s="292"/>
      <c r="G62" s="171"/>
      <c r="H62" s="44"/>
      <c r="I62" s="292"/>
      <c r="J62" s="293"/>
    </row>
    <row r="64" spans="1:10">
      <c r="A64" s="303"/>
      <c r="B64" s="46" t="s">
        <v>189</v>
      </c>
    </row>
    <row r="66" spans="1:10" ht="12">
      <c r="B66" s="275"/>
      <c r="C66" s="275"/>
      <c r="D66" s="275"/>
      <c r="E66" s="328"/>
      <c r="G66" s="328" t="s">
        <v>192</v>
      </c>
    </row>
    <row r="67" spans="1:10">
      <c r="B67" s="521" t="s">
        <v>0</v>
      </c>
      <c r="C67" s="329" t="s">
        <v>1</v>
      </c>
      <c r="D67" s="329"/>
      <c r="E67" s="329"/>
      <c r="F67" s="329"/>
      <c r="G67" s="329"/>
    </row>
    <row r="68" spans="1:10">
      <c r="B68" s="521"/>
      <c r="C68" s="330">
        <f>C8</f>
        <v>44651</v>
      </c>
      <c r="D68" s="330">
        <f t="shared" ref="D68:G68" si="0">D8</f>
        <v>44561</v>
      </c>
      <c r="E68" s="330">
        <f t="shared" si="0"/>
        <v>44469</v>
      </c>
      <c r="F68" s="330">
        <f t="shared" si="0"/>
        <v>44377</v>
      </c>
      <c r="G68" s="330">
        <f t="shared" si="0"/>
        <v>44286</v>
      </c>
    </row>
    <row r="69" spans="1:10">
      <c r="A69" s="268"/>
      <c r="B69" s="331" t="s">
        <v>134</v>
      </c>
      <c r="C69" s="374">
        <v>37150</v>
      </c>
      <c r="D69" s="340">
        <v>16507</v>
      </c>
      <c r="E69" s="340">
        <v>19981</v>
      </c>
      <c r="F69" s="340">
        <v>9414</v>
      </c>
      <c r="G69" s="340">
        <v>15109.587162000025</v>
      </c>
    </row>
    <row r="70" spans="1:10">
      <c r="B70" s="332" t="s">
        <v>218</v>
      </c>
      <c r="C70" s="171"/>
      <c r="D70" s="48"/>
      <c r="E70" s="48"/>
      <c r="F70" s="48"/>
    </row>
    <row r="71" spans="1:10">
      <c r="B71" s="331" t="s">
        <v>200</v>
      </c>
      <c r="C71" s="171"/>
      <c r="D71" s="48"/>
      <c r="E71" s="48"/>
      <c r="F71" s="48"/>
    </row>
    <row r="72" spans="1:10">
      <c r="A72" s="268"/>
      <c r="B72" s="45" t="s">
        <v>239</v>
      </c>
      <c r="C72" s="171">
        <v>1631.7784950000005</v>
      </c>
      <c r="D72" s="48">
        <v>356.02743999999984</v>
      </c>
      <c r="E72" s="48">
        <v>1079.0562399999999</v>
      </c>
      <c r="F72" s="48">
        <v>4620.3880509999999</v>
      </c>
      <c r="G72" s="48">
        <v>-5873.751827</v>
      </c>
    </row>
    <row r="73" spans="1:10">
      <c r="A73" s="268"/>
      <c r="B73" s="45" t="s">
        <v>237</v>
      </c>
      <c r="C73" s="171">
        <v>-4042.7784950000005</v>
      </c>
      <c r="D73" s="48">
        <v>-837.02743999999984</v>
      </c>
      <c r="E73" s="48">
        <v>1014.9437599999999</v>
      </c>
      <c r="F73" s="48">
        <v>-2536.3880509999999</v>
      </c>
      <c r="G73" s="48">
        <v>-610.24817299999995</v>
      </c>
    </row>
    <row r="74" spans="1:10">
      <c r="A74" s="268"/>
      <c r="B74" s="45" t="s">
        <v>190</v>
      </c>
      <c r="C74" s="171">
        <v>0</v>
      </c>
      <c r="D74" s="48">
        <v>0</v>
      </c>
      <c r="E74" s="48">
        <v>0</v>
      </c>
      <c r="F74" s="48">
        <v>0</v>
      </c>
      <c r="G74" s="48">
        <v>0</v>
      </c>
    </row>
    <row r="75" spans="1:10">
      <c r="A75" s="268"/>
      <c r="B75" s="333" t="s">
        <v>240</v>
      </c>
      <c r="C75" s="171">
        <v>0</v>
      </c>
      <c r="D75" s="48">
        <v>0</v>
      </c>
      <c r="E75" s="48">
        <v>0</v>
      </c>
      <c r="F75" s="48">
        <v>0</v>
      </c>
      <c r="G75" s="48">
        <v>0</v>
      </c>
    </row>
    <row r="76" spans="1:10">
      <c r="A76" s="268"/>
      <c r="B76" s="333" t="s">
        <v>247</v>
      </c>
      <c r="C76" s="171">
        <v>1035</v>
      </c>
      <c r="D76" s="48">
        <v>157</v>
      </c>
      <c r="E76" s="48">
        <v>-471</v>
      </c>
      <c r="F76" s="48">
        <v>548</v>
      </c>
      <c r="G76" s="48">
        <v>339.99999999999994</v>
      </c>
    </row>
    <row r="77" spans="1:10">
      <c r="A77" s="268"/>
      <c r="B77" s="334"/>
      <c r="C77" s="335">
        <v>-1376</v>
      </c>
      <c r="D77" s="336">
        <v>-324</v>
      </c>
      <c r="E77" s="336">
        <v>1623</v>
      </c>
      <c r="F77" s="336">
        <v>2632</v>
      </c>
      <c r="G77" s="336">
        <v>-6144</v>
      </c>
    </row>
    <row r="78" spans="1:10" s="275" customFormat="1" ht="5.0999999999999996" customHeight="1">
      <c r="A78" s="268"/>
      <c r="B78" s="270"/>
      <c r="C78" s="285"/>
      <c r="D78" s="294"/>
      <c r="E78" s="294"/>
      <c r="F78" s="294"/>
      <c r="G78" s="294"/>
      <c r="H78" s="44"/>
      <c r="I78" s="289"/>
      <c r="J78" s="290"/>
    </row>
    <row r="79" spans="1:10">
      <c r="B79" s="331" t="s">
        <v>201</v>
      </c>
      <c r="C79" s="171"/>
      <c r="D79" s="48"/>
      <c r="E79" s="48"/>
      <c r="F79" s="48"/>
    </row>
    <row r="80" spans="1:10">
      <c r="A80" s="268"/>
      <c r="B80" s="45" t="s">
        <v>191</v>
      </c>
      <c r="C80" s="171">
        <v>50.339569000000012</v>
      </c>
      <c r="D80" s="48">
        <v>78.676228999999992</v>
      </c>
      <c r="E80" s="48">
        <v>-47.141922999999991</v>
      </c>
      <c r="F80" s="48">
        <v>-125.797921</v>
      </c>
      <c r="G80" s="48">
        <v>41.667661000000017</v>
      </c>
    </row>
    <row r="81" spans="1:10">
      <c r="A81" s="268"/>
      <c r="B81" s="373" t="s">
        <v>248</v>
      </c>
      <c r="C81" s="171">
        <v>16.200009000000001</v>
      </c>
      <c r="D81" s="48">
        <v>15.986560999999998</v>
      </c>
      <c r="E81" s="48">
        <v>1.9398169999999999</v>
      </c>
      <c r="F81" s="48">
        <v>1.2173510000000001</v>
      </c>
      <c r="G81" s="48">
        <v>10.471602000000004</v>
      </c>
    </row>
    <row r="82" spans="1:10">
      <c r="A82" s="268"/>
      <c r="B82" s="331" t="s">
        <v>247</v>
      </c>
      <c r="C82" s="171">
        <v>-9</v>
      </c>
      <c r="D82" s="48">
        <v>-3.4149239999999992</v>
      </c>
      <c r="E82" s="48">
        <v>8.8896469999999983</v>
      </c>
      <c r="F82" s="48">
        <v>13.525277000000001</v>
      </c>
      <c r="G82" s="48">
        <v>-13.650590999999999</v>
      </c>
    </row>
    <row r="83" spans="1:10">
      <c r="A83" s="268"/>
      <c r="B83" s="337"/>
      <c r="C83" s="338">
        <v>57.539578000000013</v>
      </c>
      <c r="D83" s="339">
        <v>92</v>
      </c>
      <c r="E83" s="339">
        <v>-36.312458999999997</v>
      </c>
      <c r="F83" s="339">
        <v>-111.05529300000001</v>
      </c>
      <c r="G83" s="339">
        <v>38.488672000000022</v>
      </c>
    </row>
    <row r="84" spans="1:10" s="275" customFormat="1" ht="5.0999999999999996" customHeight="1">
      <c r="A84" s="268"/>
      <c r="B84" s="270"/>
      <c r="C84" s="285"/>
      <c r="D84" s="294"/>
      <c r="E84" s="294"/>
      <c r="F84" s="294"/>
      <c r="G84" s="294"/>
      <c r="H84" s="44"/>
      <c r="I84" s="289"/>
      <c r="J84" s="290"/>
    </row>
    <row r="85" spans="1:10">
      <c r="A85" s="268"/>
      <c r="B85" s="332" t="s">
        <v>249</v>
      </c>
      <c r="C85" s="172">
        <v>-1318.5604219999998</v>
      </c>
      <c r="D85" s="340">
        <v>-232</v>
      </c>
      <c r="E85" s="340">
        <v>1586.687541</v>
      </c>
      <c r="F85" s="340">
        <v>2520.9447070000001</v>
      </c>
      <c r="G85" s="340">
        <v>-6105.5113279999996</v>
      </c>
    </row>
    <row r="86" spans="1:10" s="275" customFormat="1" ht="5.0999999999999996" customHeight="1">
      <c r="A86" s="268"/>
      <c r="B86" s="270"/>
      <c r="C86" s="285"/>
      <c r="D86" s="294"/>
      <c r="E86" s="294"/>
      <c r="F86" s="294"/>
      <c r="G86" s="294"/>
      <c r="H86" s="44"/>
      <c r="I86" s="289"/>
      <c r="J86" s="290"/>
    </row>
    <row r="87" spans="1:10">
      <c r="A87" s="268"/>
      <c r="B87" s="348" t="s">
        <v>250</v>
      </c>
      <c r="C87" s="349">
        <v>35831.339578000006</v>
      </c>
      <c r="D87" s="350">
        <v>16275</v>
      </c>
      <c r="E87" s="350">
        <v>21567.687540999999</v>
      </c>
      <c r="F87" s="350">
        <v>11934.944707000001</v>
      </c>
      <c r="G87" s="350">
        <v>9004.0758340000248</v>
      </c>
    </row>
    <row r="88" spans="1:10" s="275" customFormat="1" ht="5.0999999999999996" customHeight="1">
      <c r="A88" s="268"/>
      <c r="B88" s="270"/>
      <c r="C88" s="285"/>
      <c r="D88" s="294"/>
      <c r="E88" s="294"/>
      <c r="F88" s="294"/>
      <c r="G88" s="294"/>
      <c r="H88" s="44"/>
      <c r="I88" s="289"/>
      <c r="J88" s="290"/>
    </row>
    <row r="89" spans="1:10">
      <c r="B89" s="332" t="s">
        <v>202</v>
      </c>
      <c r="C89" s="172">
        <v>37150</v>
      </c>
      <c r="D89" s="340">
        <v>16507</v>
      </c>
      <c r="E89" s="340">
        <v>19981</v>
      </c>
      <c r="F89" s="340">
        <v>9414</v>
      </c>
      <c r="G89" s="340">
        <v>15109.85012800002</v>
      </c>
    </row>
    <row r="90" spans="1:10">
      <c r="A90" s="268"/>
      <c r="B90" s="331" t="s">
        <v>203</v>
      </c>
      <c r="C90" s="171">
        <v>20078</v>
      </c>
      <c r="D90" s="48">
        <v>8296</v>
      </c>
      <c r="E90" s="48">
        <v>11340</v>
      </c>
      <c r="F90" s="48">
        <v>2835</v>
      </c>
      <c r="G90" s="48">
        <v>7591.85012800002</v>
      </c>
    </row>
    <row r="91" spans="1:10">
      <c r="A91" s="268"/>
      <c r="B91" s="331" t="s">
        <v>204</v>
      </c>
      <c r="C91" s="347">
        <v>17072</v>
      </c>
      <c r="D91" s="48">
        <v>8211</v>
      </c>
      <c r="E91" s="48">
        <v>8641</v>
      </c>
      <c r="F91" s="48">
        <v>6579</v>
      </c>
      <c r="G91" s="48">
        <v>7517.9999999999991</v>
      </c>
    </row>
    <row r="92" spans="1:10" s="275" customFormat="1" ht="5.0999999999999996" customHeight="1">
      <c r="A92" s="268"/>
      <c r="B92" s="346"/>
      <c r="C92" s="288"/>
      <c r="D92" s="292"/>
      <c r="E92" s="292"/>
      <c r="F92" s="292"/>
      <c r="G92" s="292"/>
      <c r="H92" s="44"/>
      <c r="I92" s="289"/>
      <c r="J92" s="290"/>
    </row>
    <row r="93" spans="1:10" s="275" customFormat="1" ht="5.0999999999999996" customHeight="1">
      <c r="A93" s="268"/>
      <c r="B93" s="270"/>
      <c r="C93" s="285"/>
      <c r="D93" s="294"/>
      <c r="E93" s="294"/>
      <c r="F93" s="294"/>
      <c r="G93" s="294"/>
      <c r="H93" s="44"/>
      <c r="I93" s="289"/>
      <c r="J93" s="290"/>
    </row>
    <row r="94" spans="1:10">
      <c r="B94" s="332" t="s">
        <v>251</v>
      </c>
      <c r="C94" s="172">
        <v>-1318.5604219999998</v>
      </c>
      <c r="D94" s="340">
        <v>-232</v>
      </c>
      <c r="E94" s="340">
        <v>1586.687541</v>
      </c>
      <c r="F94" s="340">
        <v>2520.9447070000001</v>
      </c>
      <c r="G94" s="340">
        <v>-6105.5113279999996</v>
      </c>
    </row>
    <row r="95" spans="1:10">
      <c r="A95" s="268"/>
      <c r="B95" s="331" t="s">
        <v>203</v>
      </c>
      <c r="C95" s="171">
        <v>-4482</v>
      </c>
      <c r="D95" s="48">
        <v>-706</v>
      </c>
      <c r="E95" s="48">
        <v>964</v>
      </c>
      <c r="F95" s="48">
        <v>-302</v>
      </c>
      <c r="G95" s="48">
        <v>-3435.85012800002</v>
      </c>
    </row>
    <row r="96" spans="1:10">
      <c r="A96" s="268"/>
      <c r="B96" s="331" t="s">
        <v>204</v>
      </c>
      <c r="C96" s="347">
        <v>3163</v>
      </c>
      <c r="D96" s="48">
        <v>474</v>
      </c>
      <c r="E96" s="48">
        <v>622</v>
      </c>
      <c r="F96" s="48">
        <v>2823</v>
      </c>
      <c r="G96" s="48">
        <v>-2670</v>
      </c>
    </row>
    <row r="97" spans="1:10" s="275" customFormat="1" ht="5.0999999999999996" customHeight="1">
      <c r="A97" s="268"/>
      <c r="B97" s="346"/>
      <c r="C97" s="288"/>
      <c r="D97" s="292"/>
      <c r="E97" s="292"/>
      <c r="F97" s="292"/>
      <c r="G97" s="292"/>
      <c r="H97" s="44"/>
      <c r="I97" s="289"/>
      <c r="J97" s="290"/>
    </row>
    <row r="98" spans="1:10" s="275" customFormat="1" ht="5.0999999999999996" customHeight="1">
      <c r="A98" s="268"/>
      <c r="B98" s="351"/>
      <c r="C98" s="288"/>
      <c r="D98" s="48"/>
      <c r="E98" s="48"/>
      <c r="F98" s="48"/>
      <c r="G98" s="48"/>
      <c r="H98" s="44"/>
      <c r="I98" s="289"/>
      <c r="J98" s="352"/>
    </row>
    <row r="99" spans="1:10" s="275" customFormat="1">
      <c r="A99" s="268"/>
      <c r="B99" s="353" t="s">
        <v>252</v>
      </c>
      <c r="C99" s="172">
        <v>35831.339578000006</v>
      </c>
      <c r="D99" s="340">
        <v>16275</v>
      </c>
      <c r="E99" s="340">
        <v>21567.687540999999</v>
      </c>
      <c r="F99" s="340">
        <v>11934.944707000001</v>
      </c>
      <c r="G99" s="340">
        <v>9004.0758340000248</v>
      </c>
      <c r="H99" s="44"/>
      <c r="I99" s="289"/>
      <c r="J99" s="352"/>
    </row>
    <row r="100" spans="1:10" s="275" customFormat="1">
      <c r="A100" s="268"/>
      <c r="B100" s="331" t="s">
        <v>203</v>
      </c>
      <c r="C100" s="171">
        <v>15596</v>
      </c>
      <c r="D100" s="48">
        <v>7590</v>
      </c>
      <c r="E100" s="48">
        <v>12304</v>
      </c>
      <c r="F100" s="48">
        <v>2533</v>
      </c>
      <c r="G100" s="48">
        <v>4156</v>
      </c>
      <c r="H100" s="44"/>
      <c r="I100" s="289"/>
      <c r="J100" s="352"/>
    </row>
    <row r="101" spans="1:10" s="275" customFormat="1">
      <c r="A101" s="268"/>
      <c r="B101" s="331" t="s">
        <v>204</v>
      </c>
      <c r="C101" s="347">
        <v>20235</v>
      </c>
      <c r="D101" s="48">
        <v>8685</v>
      </c>
      <c r="E101" s="48">
        <v>9263</v>
      </c>
      <c r="F101" s="48">
        <v>9402</v>
      </c>
      <c r="G101" s="48">
        <v>4848</v>
      </c>
      <c r="H101" s="44"/>
      <c r="I101" s="289"/>
      <c r="J101" s="352"/>
    </row>
    <row r="102" spans="1:10" ht="5.0999999999999996" customHeight="1">
      <c r="B102" s="341"/>
      <c r="C102" s="342"/>
      <c r="D102" s="343"/>
      <c r="E102" s="343"/>
      <c r="F102" s="343"/>
      <c r="G102" s="343"/>
    </row>
    <row r="103" spans="1:10" ht="5.0999999999999996" customHeight="1">
      <c r="B103" s="354"/>
      <c r="C103" s="342"/>
      <c r="D103" s="48"/>
      <c r="E103" s="48"/>
      <c r="F103" s="48"/>
    </row>
    <row r="104" spans="1:10" ht="20.399999999999999">
      <c r="B104" s="351" t="s">
        <v>323</v>
      </c>
      <c r="C104" s="355"/>
      <c r="D104" s="356"/>
      <c r="E104" s="356"/>
      <c r="F104" s="356"/>
      <c r="G104" s="356"/>
    </row>
    <row r="105" spans="1:10">
      <c r="B105" s="386" t="s">
        <v>205</v>
      </c>
      <c r="C105" s="388">
        <v>3.5902815742181149</v>
      </c>
      <c r="D105" s="389">
        <v>1.4913116490197664</v>
      </c>
      <c r="E105" s="389">
        <v>2.0559737966777285</v>
      </c>
      <c r="F105" s="389">
        <v>0.51400657022816043</v>
      </c>
      <c r="G105" s="389">
        <v>1.3784283606103551</v>
      </c>
    </row>
    <row r="106" spans="1:10">
      <c r="B106" s="387" t="s">
        <v>206</v>
      </c>
      <c r="C106" s="388">
        <v>3.548833253574494</v>
      </c>
      <c r="D106" s="390">
        <v>1.4770924241544447</v>
      </c>
      <c r="E106" s="390">
        <v>2.0559737966777285</v>
      </c>
      <c r="F106" s="390">
        <v>0.51400657022816043</v>
      </c>
      <c r="G106" s="390">
        <v>1.3784283606103551</v>
      </c>
    </row>
    <row r="107" spans="1:10" ht="8.25" customHeight="1">
      <c r="B107" s="520"/>
      <c r="C107" s="520"/>
      <c r="D107" s="520"/>
      <c r="E107" s="520"/>
      <c r="F107" s="520"/>
      <c r="G107" s="520"/>
    </row>
    <row r="140" spans="3:7">
      <c r="C140" s="453"/>
      <c r="D140" s="453"/>
      <c r="E140" s="453"/>
      <c r="F140" s="454"/>
      <c r="G140" s="455"/>
    </row>
    <row r="166" spans="3:7">
      <c r="C166" s="461"/>
      <c r="D166" s="461"/>
      <c r="E166" s="461"/>
      <c r="F166" s="462"/>
      <c r="G166" s="463"/>
    </row>
  </sheetData>
  <mergeCells count="9">
    <mergeCell ref="B107:G107"/>
    <mergeCell ref="B67:B68"/>
    <mergeCell ref="B7:B9"/>
    <mergeCell ref="C8:C9"/>
    <mergeCell ref="C7:G7"/>
    <mergeCell ref="E8:E9"/>
    <mergeCell ref="D8:D9"/>
    <mergeCell ref="F8:F9"/>
    <mergeCell ref="G8:G9"/>
  </mergeCells>
  <hyperlinks>
    <hyperlink ref="A1" location="Cover!E6" display="INDEX"/>
  </hyperlinks>
  <pageMargins left="0.23" right="0" top="1" bottom="1" header="0.5" footer="0.5"/>
  <pageSetup paperSize="9" scale="59" orientation="portrait" r:id="rId1"/>
  <headerFooter alignWithMargins="0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9"/>
  <sheetViews>
    <sheetView showGridLines="0" view="pageBreakPreview" topLeftCell="A30" zoomScaleNormal="100" zoomScaleSheetLayoutView="100" workbookViewId="0">
      <selection activeCell="I65" sqref="I65"/>
    </sheetView>
  </sheetViews>
  <sheetFormatPr defaultColWidth="9.109375" defaultRowHeight="10.199999999999999"/>
  <cols>
    <col min="1" max="1" width="9.109375" style="392"/>
    <col min="2" max="2" width="41.109375" style="414" customWidth="1"/>
    <col min="3" max="5" width="8.6640625" style="414" customWidth="1"/>
    <col min="6" max="7" width="8.6640625" style="391" customWidth="1"/>
    <col min="8" max="8" width="2" style="392" customWidth="1"/>
    <col min="9" max="16384" width="9.109375" style="392"/>
  </cols>
  <sheetData>
    <row r="1" spans="1:7" ht="12">
      <c r="A1" s="264" t="s">
        <v>13</v>
      </c>
      <c r="B1" s="43" t="s">
        <v>37</v>
      </c>
      <c r="C1" s="43"/>
      <c r="D1" s="43"/>
      <c r="E1" s="43"/>
    </row>
    <row r="3" spans="1:7">
      <c r="A3" s="393">
        <v>2</v>
      </c>
      <c r="B3" s="43" t="s">
        <v>263</v>
      </c>
      <c r="C3" s="43"/>
      <c r="D3" s="43"/>
      <c r="E3" s="43"/>
    </row>
    <row r="4" spans="1:7">
      <c r="B4" s="43"/>
      <c r="C4" s="43"/>
      <c r="D4" s="43"/>
      <c r="E4" s="43"/>
    </row>
    <row r="5" spans="1:7" ht="10.5" customHeight="1">
      <c r="B5" s="394"/>
      <c r="C5" s="394"/>
      <c r="D5" s="394"/>
      <c r="E5" s="394"/>
    </row>
    <row r="6" spans="1:7" ht="12.75" customHeight="1">
      <c r="B6" s="394"/>
      <c r="C6" s="394"/>
      <c r="D6" s="394"/>
      <c r="E6" s="394"/>
      <c r="F6" s="395"/>
      <c r="G6" s="395" t="s">
        <v>313</v>
      </c>
    </row>
    <row r="7" spans="1:7" ht="12" customHeight="1">
      <c r="A7" s="396"/>
      <c r="B7" s="529" t="s">
        <v>0</v>
      </c>
      <c r="C7" s="397" t="s">
        <v>3</v>
      </c>
      <c r="D7" s="397" t="s">
        <v>3</v>
      </c>
      <c r="E7" s="397" t="s">
        <v>3</v>
      </c>
      <c r="F7" s="397" t="s">
        <v>3</v>
      </c>
      <c r="G7" s="397" t="s">
        <v>3</v>
      </c>
    </row>
    <row r="8" spans="1:7" ht="12" customHeight="1">
      <c r="A8" s="396"/>
      <c r="B8" s="530"/>
      <c r="C8" s="398">
        <f>'Trends file-1'!C8</f>
        <v>44651</v>
      </c>
      <c r="D8" s="398">
        <f>'Trends file-1'!D8</f>
        <v>44561</v>
      </c>
      <c r="E8" s="398">
        <f>'Trends file-1'!E8</f>
        <v>44469</v>
      </c>
      <c r="F8" s="398">
        <f>'Trends file-1'!F8</f>
        <v>44377</v>
      </c>
      <c r="G8" s="398">
        <f>'Trends file-1'!G8</f>
        <v>44286</v>
      </c>
    </row>
    <row r="9" spans="1:7">
      <c r="A9" s="396"/>
      <c r="B9" s="399" t="s">
        <v>38</v>
      </c>
      <c r="C9" s="400"/>
      <c r="D9" s="401"/>
      <c r="E9" s="402"/>
      <c r="F9" s="401"/>
      <c r="G9" s="402"/>
    </row>
    <row r="10" spans="1:7" ht="5.0999999999999996" customHeight="1">
      <c r="A10" s="396"/>
      <c r="B10" s="403"/>
      <c r="C10" s="400"/>
      <c r="D10" s="401"/>
      <c r="E10" s="402"/>
      <c r="F10" s="401"/>
      <c r="G10" s="402"/>
    </row>
    <row r="11" spans="1:7">
      <c r="A11" s="396"/>
      <c r="B11" s="403" t="s">
        <v>164</v>
      </c>
      <c r="C11" s="400"/>
      <c r="D11" s="401"/>
      <c r="E11" s="402"/>
      <c r="F11" s="401"/>
      <c r="G11" s="402"/>
    </row>
    <row r="12" spans="1:7">
      <c r="A12" s="396"/>
      <c r="B12" s="404" t="s">
        <v>271</v>
      </c>
      <c r="C12" s="306">
        <v>1270397</v>
      </c>
      <c r="D12" s="307">
        <v>1259219</v>
      </c>
      <c r="E12" s="308">
        <v>1246145</v>
      </c>
      <c r="F12" s="307">
        <v>1213714</v>
      </c>
      <c r="G12" s="308">
        <v>1189828</v>
      </c>
    </row>
    <row r="13" spans="1:7" hidden="1">
      <c r="A13" s="396"/>
      <c r="B13" s="404"/>
      <c r="C13" s="306"/>
      <c r="D13" s="307"/>
      <c r="E13" s="308"/>
      <c r="F13" s="307"/>
      <c r="G13" s="308"/>
    </row>
    <row r="14" spans="1:7" hidden="1">
      <c r="A14" s="396"/>
      <c r="B14" s="404"/>
      <c r="C14" s="306"/>
      <c r="D14" s="307"/>
      <c r="E14" s="308"/>
      <c r="F14" s="307"/>
      <c r="G14" s="308"/>
    </row>
    <row r="15" spans="1:7">
      <c r="A15" s="396"/>
      <c r="B15" s="404" t="s">
        <v>270</v>
      </c>
      <c r="C15" s="306">
        <v>1229983</v>
      </c>
      <c r="D15" s="307">
        <v>1242858</v>
      </c>
      <c r="E15" s="308">
        <v>1261001</v>
      </c>
      <c r="F15" s="307">
        <v>1261199</v>
      </c>
      <c r="G15" s="308">
        <v>1102233</v>
      </c>
    </row>
    <row r="16" spans="1:7" s="391" customFormat="1" hidden="1">
      <c r="A16" s="396"/>
      <c r="B16" s="404" t="s">
        <v>303</v>
      </c>
      <c r="C16" s="306">
        <v>0</v>
      </c>
      <c r="D16" s="307">
        <v>0</v>
      </c>
      <c r="E16" s="308">
        <v>0</v>
      </c>
      <c r="F16" s="307">
        <v>0</v>
      </c>
      <c r="G16" s="308">
        <v>0</v>
      </c>
    </row>
    <row r="17" spans="1:7" s="391" customFormat="1">
      <c r="A17" s="396"/>
      <c r="B17" s="404" t="s">
        <v>165</v>
      </c>
      <c r="C17" s="306">
        <v>284268</v>
      </c>
      <c r="D17" s="307">
        <v>252558</v>
      </c>
      <c r="E17" s="308">
        <v>245656</v>
      </c>
      <c r="F17" s="307">
        <v>239222</v>
      </c>
      <c r="G17" s="308">
        <v>234346</v>
      </c>
    </row>
    <row r="18" spans="1:7" s="391" customFormat="1">
      <c r="A18" s="396"/>
      <c r="B18" s="405" t="s">
        <v>166</v>
      </c>
      <c r="C18" s="306"/>
      <c r="D18" s="307"/>
      <c r="E18" s="308"/>
      <c r="F18" s="307"/>
      <c r="G18" s="308"/>
    </row>
    <row r="19" spans="1:7" s="391" customFormat="1">
      <c r="A19" s="396"/>
      <c r="B19" s="406" t="s">
        <v>167</v>
      </c>
      <c r="C19" s="306">
        <v>609</v>
      </c>
      <c r="D19" s="307">
        <v>471</v>
      </c>
      <c r="E19" s="308">
        <v>469</v>
      </c>
      <c r="F19" s="307">
        <v>471</v>
      </c>
      <c r="G19" s="308">
        <v>377</v>
      </c>
    </row>
    <row r="20" spans="1:7" s="403" customFormat="1" hidden="1">
      <c r="A20" s="396"/>
      <c r="B20" s="404"/>
      <c r="C20" s="306"/>
      <c r="D20" s="307"/>
      <c r="E20" s="308"/>
      <c r="F20" s="307"/>
      <c r="G20" s="308"/>
    </row>
    <row r="21" spans="1:7" s="391" customFormat="1" hidden="1">
      <c r="A21" s="396"/>
      <c r="B21" s="404"/>
      <c r="C21" s="306"/>
      <c r="D21" s="307"/>
      <c r="E21" s="308"/>
      <c r="F21" s="307"/>
      <c r="G21" s="308"/>
    </row>
    <row r="22" spans="1:7" s="391" customFormat="1" hidden="1">
      <c r="A22" s="396"/>
      <c r="B22" s="404"/>
      <c r="C22" s="306"/>
      <c r="D22" s="307"/>
      <c r="E22" s="308"/>
      <c r="F22" s="307"/>
      <c r="G22" s="308"/>
    </row>
    <row r="23" spans="1:7" s="391" customFormat="1">
      <c r="A23" s="396"/>
      <c r="B23" s="404" t="s">
        <v>169</v>
      </c>
      <c r="C23" s="306">
        <v>22733</v>
      </c>
      <c r="D23" s="307">
        <v>22846</v>
      </c>
      <c r="E23" s="308">
        <v>23405</v>
      </c>
      <c r="F23" s="307">
        <v>23422</v>
      </c>
      <c r="G23" s="308">
        <v>23402</v>
      </c>
    </row>
    <row r="24" spans="1:7" s="391" customFormat="1" hidden="1">
      <c r="A24" s="396"/>
      <c r="B24" s="404"/>
      <c r="C24" s="306"/>
      <c r="D24" s="307"/>
      <c r="E24" s="308"/>
      <c r="F24" s="307"/>
      <c r="G24" s="308"/>
    </row>
    <row r="25" spans="1:7" s="391" customFormat="1">
      <c r="A25" s="396"/>
      <c r="B25" s="404" t="s">
        <v>264</v>
      </c>
      <c r="C25" s="306">
        <v>216729</v>
      </c>
      <c r="D25" s="307">
        <v>222564</v>
      </c>
      <c r="E25" s="308">
        <v>221408</v>
      </c>
      <c r="F25" s="307">
        <v>222493</v>
      </c>
      <c r="G25" s="308">
        <v>222103</v>
      </c>
    </row>
    <row r="26" spans="1:7" s="391" customFormat="1">
      <c r="A26" s="396"/>
      <c r="B26" s="404" t="s">
        <v>170</v>
      </c>
      <c r="C26" s="306">
        <v>91562</v>
      </c>
      <c r="D26" s="307">
        <v>84316</v>
      </c>
      <c r="E26" s="308">
        <v>79533</v>
      </c>
      <c r="F26" s="307">
        <v>82147</v>
      </c>
      <c r="G26" s="308">
        <v>140460</v>
      </c>
    </row>
    <row r="27" spans="1:7" s="391" customFormat="1">
      <c r="A27" s="396"/>
      <c r="B27" s="401"/>
      <c r="C27" s="312">
        <v>3116281</v>
      </c>
      <c r="D27" s="313">
        <v>3084832</v>
      </c>
      <c r="E27" s="314">
        <v>3077617</v>
      </c>
      <c r="F27" s="313">
        <v>3042668</v>
      </c>
      <c r="G27" s="314">
        <v>2912749</v>
      </c>
    </row>
    <row r="28" spans="1:7" ht="5.0999999999999996" customHeight="1">
      <c r="A28" s="396"/>
      <c r="B28" s="403"/>
      <c r="C28" s="306"/>
      <c r="D28" s="307"/>
      <c r="E28" s="308"/>
      <c r="F28" s="307"/>
      <c r="G28" s="308"/>
    </row>
    <row r="29" spans="1:7" s="391" customFormat="1">
      <c r="A29" s="396"/>
      <c r="B29" s="407" t="s">
        <v>171</v>
      </c>
      <c r="C29" s="306"/>
      <c r="D29" s="307"/>
      <c r="E29" s="308"/>
      <c r="F29" s="307"/>
      <c r="G29" s="308"/>
    </row>
    <row r="30" spans="1:7" s="391" customFormat="1">
      <c r="A30" s="396"/>
      <c r="B30" s="404"/>
      <c r="C30" s="306"/>
      <c r="D30" s="307"/>
      <c r="E30" s="308"/>
      <c r="F30" s="307"/>
      <c r="G30" s="308"/>
    </row>
    <row r="31" spans="1:7" s="391" customFormat="1">
      <c r="A31" s="396"/>
      <c r="B31" s="408" t="s">
        <v>166</v>
      </c>
      <c r="C31" s="306"/>
      <c r="D31" s="307"/>
      <c r="E31" s="308"/>
      <c r="F31" s="307"/>
      <c r="G31" s="308"/>
    </row>
    <row r="32" spans="1:7" s="391" customFormat="1">
      <c r="A32" s="396"/>
      <c r="B32" s="406" t="s">
        <v>167</v>
      </c>
      <c r="C32" s="306">
        <v>8614</v>
      </c>
      <c r="D32" s="307">
        <v>4440</v>
      </c>
      <c r="E32" s="308">
        <v>70632</v>
      </c>
      <c r="F32" s="307">
        <v>1970</v>
      </c>
      <c r="G32" s="308">
        <v>40781</v>
      </c>
    </row>
    <row r="33" spans="1:7" s="403" customFormat="1" hidden="1">
      <c r="A33" s="396"/>
      <c r="B33" s="406"/>
      <c r="C33" s="306"/>
      <c r="D33" s="307"/>
      <c r="E33" s="308"/>
      <c r="F33" s="307"/>
      <c r="G33" s="308"/>
    </row>
    <row r="34" spans="1:7" s="403" customFormat="1">
      <c r="A34" s="396"/>
      <c r="B34" s="406" t="s">
        <v>168</v>
      </c>
      <c r="C34" s="306">
        <v>40562</v>
      </c>
      <c r="D34" s="307">
        <v>49846</v>
      </c>
      <c r="E34" s="308">
        <v>50350</v>
      </c>
      <c r="F34" s="307">
        <v>47707</v>
      </c>
      <c r="G34" s="308">
        <v>36377</v>
      </c>
    </row>
    <row r="35" spans="1:7" s="403" customFormat="1">
      <c r="A35" s="396"/>
      <c r="B35" s="439" t="s">
        <v>272</v>
      </c>
      <c r="C35" s="306">
        <v>60959</v>
      </c>
      <c r="D35" s="307">
        <v>73015</v>
      </c>
      <c r="E35" s="308">
        <v>61707</v>
      </c>
      <c r="F35" s="307">
        <v>84917</v>
      </c>
      <c r="G35" s="308">
        <v>80859</v>
      </c>
    </row>
    <row r="36" spans="1:7" s="391" customFormat="1">
      <c r="A36" s="396"/>
      <c r="B36" s="409" t="s">
        <v>275</v>
      </c>
      <c r="C36" s="306">
        <v>73984</v>
      </c>
      <c r="D36" s="410">
        <v>68564</v>
      </c>
      <c r="E36" s="411">
        <v>58075</v>
      </c>
      <c r="F36" s="410">
        <v>42444</v>
      </c>
      <c r="G36" s="411">
        <v>53802</v>
      </c>
    </row>
    <row r="37" spans="1:7" s="412" customFormat="1" hidden="1">
      <c r="A37" s="396"/>
      <c r="B37" s="406"/>
      <c r="C37" s="306"/>
      <c r="D37" s="309"/>
      <c r="E37" s="310"/>
      <c r="F37" s="309"/>
      <c r="G37" s="310"/>
    </row>
    <row r="38" spans="1:7" hidden="1">
      <c r="A38" s="396"/>
      <c r="B38" s="406" t="s">
        <v>172</v>
      </c>
      <c r="C38" s="306">
        <v>0</v>
      </c>
      <c r="D38" s="307">
        <v>0</v>
      </c>
      <c r="E38" s="308">
        <v>0</v>
      </c>
      <c r="F38" s="307">
        <v>0</v>
      </c>
      <c r="G38" s="308">
        <v>0</v>
      </c>
    </row>
    <row r="39" spans="1:7">
      <c r="A39" s="396"/>
      <c r="B39" s="406" t="s">
        <v>173</v>
      </c>
      <c r="C39" s="306">
        <v>215258</v>
      </c>
      <c r="D39" s="307">
        <v>208794</v>
      </c>
      <c r="E39" s="308">
        <v>201740</v>
      </c>
      <c r="F39" s="307">
        <v>198115</v>
      </c>
      <c r="G39" s="308">
        <v>192448</v>
      </c>
    </row>
    <row r="40" spans="1:7" hidden="1">
      <c r="A40" s="396"/>
      <c r="B40" s="404" t="s">
        <v>175</v>
      </c>
      <c r="C40" s="306">
        <v>0</v>
      </c>
      <c r="D40" s="307">
        <v>0</v>
      </c>
      <c r="E40" s="308">
        <v>0</v>
      </c>
      <c r="F40" s="307">
        <v>0</v>
      </c>
      <c r="G40" s="308">
        <v>0</v>
      </c>
    </row>
    <row r="41" spans="1:7">
      <c r="A41" s="396"/>
      <c r="B41" s="404" t="s">
        <v>174</v>
      </c>
      <c r="C41" s="306">
        <v>120902</v>
      </c>
      <c r="D41" s="307">
        <v>132449</v>
      </c>
      <c r="E41" s="308">
        <v>138239</v>
      </c>
      <c r="F41" s="307">
        <v>140772</v>
      </c>
      <c r="G41" s="308">
        <v>143262</v>
      </c>
    </row>
    <row r="42" spans="1:7" hidden="1">
      <c r="A42" s="396"/>
      <c r="B42" s="404"/>
      <c r="C42" s="306"/>
      <c r="D42" s="307"/>
      <c r="E42" s="308"/>
      <c r="F42" s="307"/>
      <c r="G42" s="308"/>
    </row>
    <row r="43" spans="1:7" hidden="1">
      <c r="A43" s="396"/>
      <c r="B43" s="391"/>
      <c r="C43" s="306"/>
      <c r="D43" s="307"/>
      <c r="E43" s="308"/>
      <c r="F43" s="307"/>
      <c r="G43" s="308"/>
    </row>
    <row r="44" spans="1:7" hidden="1">
      <c r="A44" s="396"/>
      <c r="B44" s="401"/>
      <c r="C44" s="306"/>
      <c r="D44" s="307"/>
      <c r="E44" s="308"/>
      <c r="F44" s="307"/>
      <c r="G44" s="308"/>
    </row>
    <row r="45" spans="1:7" hidden="1" collapsed="1">
      <c r="A45" s="396"/>
      <c r="B45" s="391"/>
      <c r="C45" s="306"/>
      <c r="D45" s="307"/>
      <c r="E45" s="308"/>
      <c r="F45" s="307"/>
      <c r="G45" s="308"/>
    </row>
    <row r="46" spans="1:7">
      <c r="A46" s="396"/>
      <c r="B46" s="407"/>
      <c r="C46" s="312">
        <v>520279</v>
      </c>
      <c r="D46" s="313">
        <v>537108</v>
      </c>
      <c r="E46" s="314">
        <v>580743</v>
      </c>
      <c r="F46" s="313">
        <v>515925</v>
      </c>
      <c r="G46" s="314">
        <v>547529</v>
      </c>
    </row>
    <row r="47" spans="1:7" ht="5.0999999999999996" customHeight="1">
      <c r="A47" s="396"/>
      <c r="B47" s="403"/>
      <c r="C47" s="306"/>
      <c r="D47" s="307"/>
      <c r="E47" s="308"/>
      <c r="F47" s="307"/>
      <c r="G47" s="308"/>
    </row>
    <row r="48" spans="1:7">
      <c r="A48" s="396"/>
      <c r="B48" s="407"/>
      <c r="C48" s="306"/>
      <c r="D48" s="307"/>
      <c r="E48" s="308"/>
      <c r="F48" s="307"/>
      <c r="G48" s="308"/>
    </row>
    <row r="49" spans="1:7" ht="10.8" thickBot="1">
      <c r="A49" s="396"/>
      <c r="B49" s="403" t="s">
        <v>219</v>
      </c>
      <c r="C49" s="316">
        <v>3636560</v>
      </c>
      <c r="D49" s="317">
        <v>3621940</v>
      </c>
      <c r="E49" s="318">
        <v>3658360</v>
      </c>
      <c r="F49" s="317">
        <v>3558593</v>
      </c>
      <c r="G49" s="318">
        <v>3460278</v>
      </c>
    </row>
    <row r="50" spans="1:7" ht="5.0999999999999996" customHeight="1" thickTop="1">
      <c r="A50" s="396"/>
      <c r="B50" s="403"/>
      <c r="C50" s="306"/>
      <c r="D50" s="307"/>
      <c r="E50" s="308"/>
      <c r="F50" s="307"/>
      <c r="G50" s="308"/>
    </row>
    <row r="51" spans="1:7">
      <c r="A51" s="396"/>
      <c r="B51" s="391"/>
      <c r="C51" s="306"/>
      <c r="D51" s="307"/>
      <c r="E51" s="308"/>
      <c r="F51" s="307"/>
      <c r="G51" s="308"/>
    </row>
    <row r="52" spans="1:7" s="412" customFormat="1" hidden="1">
      <c r="A52" s="396"/>
      <c r="B52" s="403"/>
      <c r="C52" s="306"/>
      <c r="D52" s="309"/>
      <c r="E52" s="310"/>
      <c r="F52" s="309"/>
      <c r="G52" s="310"/>
    </row>
    <row r="53" spans="1:7" hidden="1">
      <c r="A53" s="396"/>
      <c r="B53" s="403"/>
      <c r="C53" s="306"/>
      <c r="D53" s="307"/>
      <c r="E53" s="308"/>
      <c r="F53" s="307"/>
      <c r="G53" s="308"/>
    </row>
    <row r="54" spans="1:7" ht="5.0999999999999996" customHeight="1">
      <c r="A54" s="396"/>
      <c r="B54" s="403"/>
      <c r="C54" s="306"/>
      <c r="D54" s="307"/>
      <c r="E54" s="308"/>
      <c r="F54" s="307"/>
      <c r="G54" s="308"/>
    </row>
    <row r="55" spans="1:7">
      <c r="A55" s="396"/>
      <c r="B55" s="403" t="s">
        <v>39</v>
      </c>
      <c r="C55" s="306"/>
      <c r="D55" s="307"/>
      <c r="E55" s="308"/>
      <c r="F55" s="307"/>
      <c r="G55" s="308"/>
    </row>
    <row r="56" spans="1:7" hidden="1">
      <c r="A56" s="396"/>
      <c r="B56" s="403" t="s">
        <v>40</v>
      </c>
      <c r="C56" s="306"/>
      <c r="D56" s="307"/>
      <c r="E56" s="308"/>
      <c r="F56" s="307"/>
      <c r="G56" s="308"/>
    </row>
    <row r="57" spans="1:7" hidden="1">
      <c r="A57" s="396"/>
      <c r="B57" s="404"/>
      <c r="C57" s="306"/>
      <c r="D57" s="307"/>
      <c r="E57" s="308"/>
      <c r="F57" s="307"/>
      <c r="G57" s="308"/>
    </row>
    <row r="58" spans="1:7" ht="11.25" hidden="1" customHeight="1">
      <c r="A58" s="396"/>
      <c r="B58" s="407"/>
      <c r="C58" s="306"/>
      <c r="D58" s="307"/>
      <c r="E58" s="308"/>
      <c r="F58" s="307"/>
      <c r="G58" s="308"/>
    </row>
    <row r="59" spans="1:7" hidden="1">
      <c r="A59" s="396"/>
      <c r="B59" s="404"/>
      <c r="C59" s="306"/>
      <c r="D59" s="307"/>
      <c r="E59" s="308"/>
      <c r="F59" s="307"/>
      <c r="G59" s="308"/>
    </row>
    <row r="60" spans="1:7">
      <c r="A60" s="396"/>
      <c r="B60" s="404" t="s">
        <v>220</v>
      </c>
      <c r="C60" s="306">
        <v>665543</v>
      </c>
      <c r="D60" s="307">
        <v>658630</v>
      </c>
      <c r="E60" s="308">
        <v>601874</v>
      </c>
      <c r="F60" s="307">
        <v>592034</v>
      </c>
      <c r="G60" s="308">
        <v>589527</v>
      </c>
    </row>
    <row r="61" spans="1:7">
      <c r="A61" s="396"/>
      <c r="B61" s="404" t="s">
        <v>238</v>
      </c>
      <c r="C61" s="306">
        <v>253807</v>
      </c>
      <c r="D61" s="307">
        <v>229006</v>
      </c>
      <c r="E61" s="308">
        <v>233642</v>
      </c>
      <c r="F61" s="307">
        <v>228909</v>
      </c>
      <c r="G61" s="308">
        <v>222739</v>
      </c>
    </row>
    <row r="62" spans="1:7">
      <c r="A62" s="396"/>
      <c r="B62" s="413"/>
      <c r="C62" s="312">
        <v>919350</v>
      </c>
      <c r="D62" s="313">
        <v>887636</v>
      </c>
      <c r="E62" s="314">
        <v>835516</v>
      </c>
      <c r="F62" s="313">
        <v>820943</v>
      </c>
      <c r="G62" s="314">
        <v>812266</v>
      </c>
    </row>
    <row r="63" spans="1:7" ht="5.0999999999999996" customHeight="1">
      <c r="A63" s="396"/>
      <c r="B63" s="403"/>
      <c r="C63" s="306"/>
      <c r="D63" s="307"/>
      <c r="E63" s="308"/>
      <c r="F63" s="307"/>
      <c r="G63" s="308"/>
    </row>
    <row r="64" spans="1:7">
      <c r="A64" s="396"/>
      <c r="B64" s="403" t="s">
        <v>176</v>
      </c>
      <c r="C64" s="306"/>
      <c r="D64" s="307"/>
      <c r="E64" s="308"/>
      <c r="F64" s="307"/>
      <c r="G64" s="308"/>
    </row>
    <row r="65" spans="1:7">
      <c r="A65" s="396"/>
      <c r="B65" s="405" t="s">
        <v>177</v>
      </c>
      <c r="C65" s="306"/>
      <c r="D65" s="307"/>
      <c r="E65" s="308"/>
      <c r="F65" s="307"/>
      <c r="G65" s="308"/>
    </row>
    <row r="66" spans="1:7">
      <c r="A66" s="396"/>
      <c r="B66" s="406" t="s">
        <v>221</v>
      </c>
      <c r="C66" s="306">
        <v>1425912</v>
      </c>
      <c r="D66" s="307">
        <v>1449385</v>
      </c>
      <c r="E66" s="308">
        <v>1562933</v>
      </c>
      <c r="F66" s="307">
        <v>1493080</v>
      </c>
      <c r="G66" s="308">
        <v>1356689</v>
      </c>
    </row>
    <row r="67" spans="1:7" hidden="1">
      <c r="A67" s="396"/>
      <c r="B67" s="406"/>
      <c r="C67" s="306"/>
      <c r="D67" s="307"/>
      <c r="E67" s="308"/>
      <c r="F67" s="307"/>
      <c r="G67" s="308"/>
    </row>
    <row r="68" spans="1:7">
      <c r="A68" s="396"/>
      <c r="B68" s="406" t="s">
        <v>173</v>
      </c>
      <c r="C68" s="306">
        <v>90290</v>
      </c>
      <c r="D68" s="307">
        <v>141397</v>
      </c>
      <c r="E68" s="308">
        <v>132013</v>
      </c>
      <c r="F68" s="307">
        <v>93167</v>
      </c>
      <c r="G68" s="308">
        <v>122393</v>
      </c>
    </row>
    <row r="69" spans="1:7" hidden="1">
      <c r="A69" s="396"/>
      <c r="B69" s="404"/>
      <c r="C69" s="306"/>
      <c r="D69" s="307"/>
      <c r="E69" s="308"/>
      <c r="F69" s="307"/>
      <c r="G69" s="308"/>
    </row>
    <row r="70" spans="1:7" hidden="1">
      <c r="A70" s="396"/>
      <c r="B70" s="404" t="s">
        <v>304</v>
      </c>
      <c r="C70" s="306">
        <v>0</v>
      </c>
      <c r="D70" s="307">
        <v>0</v>
      </c>
      <c r="E70" s="308">
        <v>0</v>
      </c>
      <c r="F70" s="307">
        <v>0</v>
      </c>
      <c r="G70" s="308">
        <v>0</v>
      </c>
    </row>
    <row r="71" spans="1:7">
      <c r="A71" s="396"/>
      <c r="B71" s="404" t="s">
        <v>178</v>
      </c>
      <c r="C71" s="306">
        <v>24488</v>
      </c>
      <c r="D71" s="307">
        <v>20906</v>
      </c>
      <c r="E71" s="308">
        <v>19068</v>
      </c>
      <c r="F71" s="307">
        <v>16709</v>
      </c>
      <c r="G71" s="308">
        <v>16107</v>
      </c>
    </row>
    <row r="72" spans="1:7">
      <c r="A72" s="396"/>
      <c r="B72" s="404" t="s">
        <v>179</v>
      </c>
      <c r="C72" s="306">
        <v>36260</v>
      </c>
      <c r="D72" s="307">
        <v>36675</v>
      </c>
      <c r="E72" s="308">
        <v>36792</v>
      </c>
      <c r="F72" s="307">
        <v>37351</v>
      </c>
      <c r="G72" s="308">
        <v>36464</v>
      </c>
    </row>
    <row r="73" spans="1:7">
      <c r="A73" s="396"/>
      <c r="B73" s="407"/>
      <c r="C73" s="312">
        <v>1576950</v>
      </c>
      <c r="D73" s="313">
        <v>1648363</v>
      </c>
      <c r="E73" s="314">
        <v>1750806</v>
      </c>
      <c r="F73" s="313">
        <v>1640307</v>
      </c>
      <c r="G73" s="314">
        <v>1531653</v>
      </c>
    </row>
    <row r="74" spans="1:7" ht="5.0999999999999996" customHeight="1">
      <c r="A74" s="396"/>
      <c r="B74" s="403"/>
      <c r="C74" s="306"/>
      <c r="D74" s="307"/>
      <c r="E74" s="308"/>
      <c r="F74" s="307"/>
      <c r="G74" s="308"/>
    </row>
    <row r="75" spans="1:7" s="412" customFormat="1">
      <c r="A75" s="396"/>
      <c r="B75" s="407" t="s">
        <v>180</v>
      </c>
      <c r="C75" s="306"/>
      <c r="D75" s="307"/>
      <c r="E75" s="308"/>
      <c r="F75" s="307"/>
      <c r="G75" s="308"/>
    </row>
    <row r="76" spans="1:7" s="412" customFormat="1">
      <c r="A76" s="396"/>
      <c r="B76" s="408" t="s">
        <v>177</v>
      </c>
      <c r="C76" s="306"/>
      <c r="D76" s="309"/>
      <c r="E76" s="310"/>
      <c r="F76" s="309"/>
      <c r="G76" s="310"/>
    </row>
    <row r="77" spans="1:7">
      <c r="A77" s="396"/>
      <c r="B77" s="439" t="s">
        <v>273</v>
      </c>
      <c r="C77" s="306">
        <v>270867</v>
      </c>
      <c r="D77" s="307">
        <v>235054</v>
      </c>
      <c r="E77" s="308">
        <v>240899</v>
      </c>
      <c r="F77" s="307">
        <v>195249</v>
      </c>
      <c r="G77" s="308">
        <v>271163</v>
      </c>
    </row>
    <row r="78" spans="1:7" hidden="1">
      <c r="A78" s="396"/>
      <c r="B78" s="406"/>
      <c r="C78" s="306"/>
      <c r="D78" s="307"/>
      <c r="E78" s="308"/>
      <c r="F78" s="307"/>
      <c r="G78" s="308"/>
    </row>
    <row r="79" spans="1:7" s="412" customFormat="1" hidden="1">
      <c r="A79" s="396"/>
      <c r="B79" s="406"/>
      <c r="C79" s="306"/>
      <c r="D79" s="307"/>
      <c r="E79" s="308"/>
      <c r="F79" s="307"/>
      <c r="G79" s="308"/>
    </row>
    <row r="80" spans="1:7">
      <c r="A80" s="396"/>
      <c r="B80" s="406" t="s">
        <v>222</v>
      </c>
      <c r="C80" s="306">
        <v>292741</v>
      </c>
      <c r="D80" s="307">
        <v>308141</v>
      </c>
      <c r="E80" s="308">
        <v>298625</v>
      </c>
      <c r="F80" s="307">
        <v>304919</v>
      </c>
      <c r="G80" s="308">
        <v>278721</v>
      </c>
    </row>
    <row r="81" spans="1:7">
      <c r="A81" s="396"/>
      <c r="B81" s="406" t="s">
        <v>173</v>
      </c>
      <c r="C81" s="306">
        <v>195409.70225199999</v>
      </c>
      <c r="D81" s="307">
        <v>161477.07159499999</v>
      </c>
      <c r="E81" s="308">
        <v>167600.25042900001</v>
      </c>
      <c r="F81" s="307">
        <v>242530.459642</v>
      </c>
      <c r="G81" s="308">
        <v>202187.03326699999</v>
      </c>
    </row>
    <row r="82" spans="1:7" hidden="1">
      <c r="A82" s="396"/>
      <c r="B82" s="404"/>
      <c r="C82" s="306"/>
      <c r="D82" s="298"/>
      <c r="E82" s="308"/>
      <c r="F82" s="298"/>
      <c r="G82" s="308"/>
    </row>
    <row r="83" spans="1:7" hidden="1">
      <c r="A83" s="396"/>
      <c r="B83" s="404" t="s">
        <v>304</v>
      </c>
      <c r="C83" s="306">
        <v>0</v>
      </c>
      <c r="D83" s="298">
        <v>0</v>
      </c>
      <c r="E83" s="308">
        <v>0</v>
      </c>
      <c r="F83" s="298">
        <v>0</v>
      </c>
      <c r="G83" s="308">
        <v>0</v>
      </c>
    </row>
    <row r="84" spans="1:7">
      <c r="A84" s="396"/>
      <c r="B84" s="404" t="s">
        <v>226</v>
      </c>
      <c r="C84" s="306">
        <v>20725</v>
      </c>
      <c r="D84" s="298">
        <v>16970</v>
      </c>
      <c r="E84" s="308">
        <v>14603</v>
      </c>
      <c r="F84" s="298">
        <v>10547</v>
      </c>
      <c r="G84" s="308">
        <v>15199</v>
      </c>
    </row>
    <row r="85" spans="1:7">
      <c r="A85" s="396"/>
      <c r="B85" s="404" t="s">
        <v>181</v>
      </c>
      <c r="C85" s="306">
        <v>360517</v>
      </c>
      <c r="D85" s="298">
        <v>364299</v>
      </c>
      <c r="E85" s="308">
        <v>350311</v>
      </c>
      <c r="F85" s="298">
        <v>344098</v>
      </c>
      <c r="G85" s="308">
        <v>349089</v>
      </c>
    </row>
    <row r="86" spans="1:7" hidden="1">
      <c r="A86" s="396"/>
      <c r="B86" s="404" t="s">
        <v>207</v>
      </c>
      <c r="C86" s="306"/>
      <c r="D86" s="298"/>
      <c r="E86" s="308"/>
      <c r="F86" s="298"/>
      <c r="G86" s="308"/>
    </row>
    <row r="87" spans="1:7" ht="5.0999999999999996" hidden="1" customHeight="1">
      <c r="A87" s="396"/>
      <c r="B87" s="403"/>
      <c r="C87" s="306"/>
      <c r="D87" s="307"/>
      <c r="E87" s="308"/>
      <c r="F87" s="307"/>
      <c r="G87" s="308"/>
    </row>
    <row r="88" spans="1:7" hidden="1">
      <c r="A88" s="396"/>
      <c r="B88" s="401"/>
      <c r="C88" s="306"/>
      <c r="D88" s="298"/>
      <c r="E88" s="308"/>
      <c r="F88" s="298"/>
      <c r="G88" s="308"/>
    </row>
    <row r="89" spans="1:7">
      <c r="A89" s="396"/>
      <c r="B89" s="407"/>
      <c r="C89" s="312">
        <v>1140259.7022520001</v>
      </c>
      <c r="D89" s="315">
        <v>1085941.0715950001</v>
      </c>
      <c r="E89" s="314">
        <v>1072038.250429</v>
      </c>
      <c r="F89" s="315">
        <v>1097343.459642</v>
      </c>
      <c r="G89" s="314">
        <v>1116359.033267</v>
      </c>
    </row>
    <row r="90" spans="1:7" ht="11.25" customHeight="1">
      <c r="A90" s="396"/>
      <c r="B90" s="407"/>
      <c r="C90" s="306"/>
      <c r="D90" s="298"/>
      <c r="E90" s="310"/>
      <c r="F90" s="298"/>
      <c r="G90" s="310"/>
    </row>
    <row r="91" spans="1:7" ht="5.0999999999999996" customHeight="1">
      <c r="A91" s="396"/>
      <c r="B91" s="403"/>
      <c r="C91" s="306"/>
      <c r="D91" s="307"/>
      <c r="E91" s="308"/>
      <c r="F91" s="307"/>
      <c r="G91" s="308"/>
    </row>
    <row r="92" spans="1:7">
      <c r="A92" s="396"/>
      <c r="B92" s="407" t="s">
        <v>182</v>
      </c>
      <c r="C92" s="311">
        <v>2717209.7022520001</v>
      </c>
      <c r="D92" s="301">
        <v>2734304.0715950001</v>
      </c>
      <c r="E92" s="310">
        <v>2822844.2504289998</v>
      </c>
      <c r="F92" s="301">
        <v>2737650.459642</v>
      </c>
      <c r="G92" s="310">
        <v>2648012.0332669998</v>
      </c>
    </row>
    <row r="93" spans="1:7" ht="10.8" thickBot="1">
      <c r="A93" s="396"/>
      <c r="B93" s="407" t="s">
        <v>41</v>
      </c>
      <c r="C93" s="316">
        <v>3636559.7022520001</v>
      </c>
      <c r="D93" s="319">
        <v>3621940.0715950001</v>
      </c>
      <c r="E93" s="316">
        <v>3658360.2504289998</v>
      </c>
      <c r="F93" s="319">
        <v>3558593.459642</v>
      </c>
      <c r="G93" s="316">
        <v>3460278.0332669998</v>
      </c>
    </row>
    <row r="94" spans="1:7" ht="5.0999999999999996" customHeight="1" thickTop="1">
      <c r="A94" s="396"/>
      <c r="B94" s="494"/>
      <c r="C94" s="495"/>
      <c r="D94" s="305"/>
      <c r="E94" s="288"/>
      <c r="F94" s="305"/>
      <c r="G94" s="288"/>
    </row>
    <row r="95" spans="1:7" ht="26.25" customHeight="1">
      <c r="B95" s="531"/>
      <c r="C95" s="532"/>
      <c r="D95" s="532"/>
      <c r="E95" s="532"/>
      <c r="F95" s="532"/>
      <c r="G95" s="532"/>
    </row>
    <row r="99" spans="3:7">
      <c r="C99" s="298">
        <f>C93-C49</f>
        <v>-0.29774799989536405</v>
      </c>
      <c r="D99" s="298">
        <f t="shared" ref="D99:G99" si="0">D93-D49</f>
        <v>7.1595000103116035E-2</v>
      </c>
      <c r="E99" s="298">
        <f t="shared" si="0"/>
        <v>0.250428999774158</v>
      </c>
      <c r="F99" s="298">
        <f t="shared" si="0"/>
        <v>0.45964200003072619</v>
      </c>
      <c r="G99" s="298">
        <f t="shared" si="0"/>
        <v>3.3266999758780003E-2</v>
      </c>
    </row>
    <row r="133" spans="3:7">
      <c r="C133" s="451"/>
      <c r="D133" s="451"/>
      <c r="E133" s="451"/>
      <c r="F133" s="452"/>
      <c r="G133" s="452"/>
    </row>
    <row r="159" spans="3:7">
      <c r="C159" s="459"/>
      <c r="D159" s="459"/>
      <c r="E159" s="459"/>
      <c r="F159" s="460"/>
      <c r="G159" s="460"/>
    </row>
  </sheetData>
  <mergeCells count="2">
    <mergeCell ref="B7:B8"/>
    <mergeCell ref="B95:G95"/>
  </mergeCells>
  <hyperlinks>
    <hyperlink ref="A1" location="Cover!E6" display="INDEX"/>
  </hyperlinks>
  <pageMargins left="0.23" right="0" top="1" bottom="1" header="0.5" footer="0.5"/>
  <pageSetup paperSize="9" scale="88" orientation="portrait" r:id="rId1"/>
  <headerFooter alignWithMargins="0"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67"/>
  <sheetViews>
    <sheetView showGridLines="0" view="pageBreakPreview" topLeftCell="A58" zoomScaleNormal="100" zoomScaleSheetLayoutView="100" workbookViewId="0">
      <selection activeCell="C92" sqref="C92:H98"/>
    </sheetView>
  </sheetViews>
  <sheetFormatPr defaultColWidth="9.109375" defaultRowHeight="10.199999999999999" outlineLevelRow="1"/>
  <cols>
    <col min="1" max="1" width="5.44140625" style="392" customWidth="1"/>
    <col min="2" max="2" width="58.44140625" style="392" bestFit="1" customWidth="1"/>
    <col min="3" max="5" width="8.6640625" style="392" customWidth="1"/>
    <col min="6" max="7" width="8.6640625" style="415" customWidth="1"/>
    <col min="8" max="8" width="2" style="392" customWidth="1"/>
    <col min="9" max="16384" width="9.109375" style="392"/>
  </cols>
  <sheetData>
    <row r="1" spans="1:7" ht="12">
      <c r="A1" s="264" t="s">
        <v>13</v>
      </c>
      <c r="B1" s="43" t="s">
        <v>37</v>
      </c>
      <c r="C1" s="43"/>
      <c r="D1" s="43"/>
      <c r="E1" s="43"/>
    </row>
    <row r="2" spans="1:7">
      <c r="F2" s="416"/>
      <c r="G2" s="392"/>
    </row>
    <row r="3" spans="1:7" ht="12">
      <c r="A3" s="393">
        <v>3</v>
      </c>
      <c r="B3" s="416" t="s">
        <v>223</v>
      </c>
      <c r="C3" s="416"/>
      <c r="D3" s="416"/>
      <c r="E3" s="416"/>
      <c r="F3" s="395"/>
      <c r="G3" s="392"/>
    </row>
    <row r="4" spans="1:7" ht="12">
      <c r="A4" s="417"/>
      <c r="B4" s="416"/>
      <c r="C4" s="416"/>
      <c r="D4" s="416"/>
      <c r="E4" s="416"/>
      <c r="F4" s="395"/>
      <c r="G4" s="392"/>
    </row>
    <row r="5" spans="1:7" ht="12">
      <c r="A5" s="417"/>
      <c r="B5" s="416"/>
      <c r="C5" s="416"/>
      <c r="D5" s="416"/>
      <c r="E5" s="416"/>
      <c r="F5" s="395"/>
      <c r="G5" s="392"/>
    </row>
    <row r="6" spans="1:7" ht="12.75" customHeight="1">
      <c r="A6" s="417"/>
      <c r="B6" s="416"/>
      <c r="C6" s="416"/>
      <c r="D6" s="416"/>
      <c r="E6" s="416"/>
      <c r="F6" s="395"/>
      <c r="G6" s="395" t="str">
        <f>'Trends file-2 '!$G$6</f>
        <v>Amount in Rs Mn</v>
      </c>
    </row>
    <row r="7" spans="1:7" ht="12.75" customHeight="1">
      <c r="B7" s="533" t="s">
        <v>0</v>
      </c>
      <c r="C7" s="535" t="s">
        <v>1</v>
      </c>
      <c r="D7" s="536"/>
      <c r="E7" s="536"/>
      <c r="F7" s="536"/>
      <c r="G7" s="537"/>
    </row>
    <row r="8" spans="1:7" ht="12.75" customHeight="1">
      <c r="B8" s="534"/>
      <c r="C8" s="418">
        <f>'Trends file-1'!C8</f>
        <v>44651</v>
      </c>
      <c r="D8" s="418">
        <f>'Trends file-1'!D8</f>
        <v>44561</v>
      </c>
      <c r="E8" s="418">
        <f>'Trends file-1'!E8</f>
        <v>44469</v>
      </c>
      <c r="F8" s="418">
        <f>'Trends file-1'!F8</f>
        <v>44377</v>
      </c>
      <c r="G8" s="418">
        <f>'Trends file-1'!G8</f>
        <v>44286</v>
      </c>
    </row>
    <row r="9" spans="1:7">
      <c r="B9" s="61" t="s">
        <v>47</v>
      </c>
      <c r="C9" s="419"/>
      <c r="D9" s="420"/>
      <c r="E9" s="419"/>
      <c r="F9" s="420"/>
      <c r="G9" s="419"/>
    </row>
    <row r="10" spans="1:7">
      <c r="B10" s="62"/>
      <c r="C10" s="421"/>
      <c r="D10" s="422"/>
      <c r="E10" s="421"/>
      <c r="F10" s="422"/>
      <c r="G10" s="421"/>
    </row>
    <row r="11" spans="1:7" s="412" customFormat="1">
      <c r="A11" s="396"/>
      <c r="B11" s="62" t="s">
        <v>66</v>
      </c>
      <c r="C11" s="423">
        <v>50366.797851194766</v>
      </c>
      <c r="D11" s="424">
        <v>26415.59886162106</v>
      </c>
      <c r="E11" s="423">
        <v>30288.836511710993</v>
      </c>
      <c r="F11" s="424">
        <v>17758.730835213028</v>
      </c>
      <c r="G11" s="423">
        <v>20210.836260773227</v>
      </c>
    </row>
    <row r="12" spans="1:7" ht="5.0999999999999996" customHeight="1">
      <c r="A12" s="396"/>
      <c r="B12" s="63"/>
      <c r="C12" s="425"/>
      <c r="D12" s="426"/>
      <c r="E12" s="425"/>
      <c r="F12" s="426"/>
      <c r="G12" s="425"/>
    </row>
    <row r="13" spans="1:7">
      <c r="A13" s="396"/>
      <c r="B13" s="64" t="s">
        <v>48</v>
      </c>
      <c r="C13" s="425"/>
      <c r="D13" s="426"/>
      <c r="E13" s="425"/>
      <c r="F13" s="426"/>
      <c r="G13" s="425"/>
    </row>
    <row r="14" spans="1:7">
      <c r="A14" s="396"/>
      <c r="B14" s="65" t="s">
        <v>138</v>
      </c>
      <c r="C14" s="427">
        <v>85825.115436127337</v>
      </c>
      <c r="D14" s="428">
        <v>85471.919672343167</v>
      </c>
      <c r="E14" s="427">
        <v>82472.610072376163</v>
      </c>
      <c r="F14" s="428">
        <v>77136.87947862882</v>
      </c>
      <c r="G14" s="427">
        <v>75022.56312855189</v>
      </c>
    </row>
    <row r="15" spans="1:7">
      <c r="A15" s="396"/>
      <c r="B15" s="65" t="s">
        <v>224</v>
      </c>
      <c r="C15" s="427">
        <v>40529.288771668864</v>
      </c>
      <c r="D15" s="428">
        <v>43280.10867862279</v>
      </c>
      <c r="E15" s="427">
        <v>39384.502669681729</v>
      </c>
      <c r="F15" s="428">
        <v>42046.813313314015</v>
      </c>
      <c r="G15" s="427">
        <v>39090.48872156076</v>
      </c>
    </row>
    <row r="16" spans="1:7" hidden="1">
      <c r="A16" s="396"/>
      <c r="B16" s="65"/>
      <c r="C16" s="427"/>
      <c r="D16" s="428"/>
      <c r="E16" s="427"/>
      <c r="F16" s="428"/>
      <c r="G16" s="427"/>
    </row>
    <row r="17" spans="1:7">
      <c r="A17" s="396"/>
      <c r="B17" s="65" t="s">
        <v>314</v>
      </c>
      <c r="C17" s="427">
        <v>-164.19315900000004</v>
      </c>
      <c r="D17" s="428">
        <v>-520.92413878099978</v>
      </c>
      <c r="E17" s="427">
        <v>-139.65321299999999</v>
      </c>
      <c r="F17" s="428">
        <v>-242.43072599999999</v>
      </c>
      <c r="G17" s="427">
        <v>-207.57085800000004</v>
      </c>
    </row>
    <row r="18" spans="1:7">
      <c r="A18" s="396"/>
      <c r="B18" s="65" t="s">
        <v>310</v>
      </c>
      <c r="C18" s="427">
        <v>-1026.4862259440001</v>
      </c>
      <c r="D18" s="428">
        <v>-424.32818536299999</v>
      </c>
      <c r="E18" s="427">
        <v>-413.08697324600007</v>
      </c>
      <c r="F18" s="428">
        <v>-343.06078837500002</v>
      </c>
      <c r="G18" s="427">
        <v>-337.84936638099907</v>
      </c>
    </row>
    <row r="19" spans="1:7">
      <c r="A19" s="396"/>
      <c r="B19" s="65" t="s">
        <v>315</v>
      </c>
      <c r="C19" s="427">
        <v>-423.70255231400029</v>
      </c>
      <c r="D19" s="428">
        <v>865.89873828600025</v>
      </c>
      <c r="E19" s="427">
        <v>1357.550579452</v>
      </c>
      <c r="F19" s="428">
        <v>-853.11662692100003</v>
      </c>
      <c r="G19" s="427">
        <v>524.50846803300055</v>
      </c>
    </row>
    <row r="20" spans="1:7" hidden="1">
      <c r="A20" s="396"/>
      <c r="B20" s="65" t="s">
        <v>311</v>
      </c>
      <c r="C20" s="427">
        <v>0</v>
      </c>
      <c r="D20" s="428">
        <v>0</v>
      </c>
      <c r="E20" s="427">
        <v>0</v>
      </c>
      <c r="F20" s="428">
        <v>0</v>
      </c>
      <c r="G20" s="427">
        <v>0</v>
      </c>
    </row>
    <row r="21" spans="1:7" ht="11.25" hidden="1" customHeight="1">
      <c r="A21" s="396"/>
      <c r="B21" s="66" t="s">
        <v>320</v>
      </c>
      <c r="C21" s="427">
        <v>0</v>
      </c>
      <c r="D21" s="428">
        <v>0</v>
      </c>
      <c r="E21" s="427">
        <v>0</v>
      </c>
      <c r="F21" s="428">
        <v>0</v>
      </c>
      <c r="G21" s="427">
        <v>0</v>
      </c>
    </row>
    <row r="22" spans="1:7">
      <c r="A22" s="396"/>
      <c r="B22" s="66" t="s">
        <v>49</v>
      </c>
      <c r="C22" s="427">
        <v>-10473.726752366378</v>
      </c>
      <c r="D22" s="428">
        <v>-6584.3973618841064</v>
      </c>
      <c r="E22" s="427">
        <v>-12792.488746245321</v>
      </c>
      <c r="F22" s="428">
        <v>-2411.3390330433831</v>
      </c>
      <c r="G22" s="427">
        <v>-10394.378601203949</v>
      </c>
    </row>
    <row r="23" spans="1:7" ht="5.0999999999999996" customHeight="1">
      <c r="A23" s="396"/>
      <c r="B23" s="63"/>
      <c r="C23" s="425"/>
      <c r="D23" s="426"/>
      <c r="E23" s="425"/>
      <c r="F23" s="426"/>
      <c r="G23" s="425"/>
    </row>
    <row r="24" spans="1:7" s="412" customFormat="1">
      <c r="A24" s="396"/>
      <c r="B24" s="87" t="s">
        <v>208</v>
      </c>
      <c r="C24" s="431">
        <v>164633</v>
      </c>
      <c r="D24" s="432">
        <v>148505</v>
      </c>
      <c r="E24" s="431">
        <v>140160</v>
      </c>
      <c r="F24" s="432">
        <v>133093</v>
      </c>
      <c r="G24" s="431">
        <v>123908</v>
      </c>
    </row>
    <row r="25" spans="1:7">
      <c r="A25" s="396"/>
      <c r="B25" s="357" t="s">
        <v>209</v>
      </c>
      <c r="C25" s="425"/>
      <c r="D25" s="426"/>
      <c r="E25" s="425"/>
      <c r="F25" s="426"/>
      <c r="G25" s="425"/>
    </row>
    <row r="26" spans="1:7">
      <c r="A26" s="396"/>
      <c r="B26" s="68" t="s">
        <v>210</v>
      </c>
      <c r="C26" s="427">
        <v>8373.1804460885523</v>
      </c>
      <c r="D26" s="428">
        <v>257.7167773549063</v>
      </c>
      <c r="E26" s="427">
        <v>-2534.0897040849868</v>
      </c>
      <c r="F26" s="428">
        <v>-13227.643491992352</v>
      </c>
      <c r="G26" s="427">
        <v>10361.823843772136</v>
      </c>
    </row>
    <row r="27" spans="1:7">
      <c r="A27" s="396"/>
      <c r="B27" s="65" t="s">
        <v>211</v>
      </c>
      <c r="C27" s="427">
        <v>-22111.701044900808</v>
      </c>
      <c r="D27" s="428">
        <v>5265.4803964175189</v>
      </c>
      <c r="E27" s="427">
        <v>-13296.817456584566</v>
      </c>
      <c r="F27" s="428">
        <v>25267.039766016103</v>
      </c>
      <c r="G27" s="427">
        <v>-15779.757160768964</v>
      </c>
    </row>
    <row r="28" spans="1:7" hidden="1">
      <c r="A28" s="396"/>
      <c r="B28" s="65"/>
      <c r="C28" s="427"/>
      <c r="D28" s="428"/>
      <c r="E28" s="427"/>
      <c r="F28" s="428"/>
      <c r="G28" s="427"/>
    </row>
    <row r="29" spans="1:7" hidden="1">
      <c r="A29" s="396"/>
      <c r="B29" s="65"/>
      <c r="C29" s="427"/>
      <c r="D29" s="428"/>
      <c r="E29" s="427"/>
      <c r="F29" s="428"/>
      <c r="G29" s="427"/>
    </row>
    <row r="30" spans="1:7" hidden="1">
      <c r="A30" s="396"/>
      <c r="B30" s="63"/>
      <c r="C30" s="427"/>
      <c r="D30" s="428"/>
      <c r="E30" s="427"/>
      <c r="F30" s="428"/>
      <c r="G30" s="427"/>
    </row>
    <row r="31" spans="1:7">
      <c r="A31" s="396"/>
      <c r="B31" s="65" t="s">
        <v>265</v>
      </c>
      <c r="C31" s="427">
        <v>-8338.3572568772652</v>
      </c>
      <c r="D31" s="428">
        <v>10000.396852038561</v>
      </c>
      <c r="E31" s="427">
        <v>6259.4690196704305</v>
      </c>
      <c r="F31" s="428">
        <v>-10386.230341573271</v>
      </c>
      <c r="G31" s="427">
        <v>4858.3490036674884</v>
      </c>
    </row>
    <row r="32" spans="1:7" ht="5.0999999999999996" customHeight="1">
      <c r="A32" s="396"/>
      <c r="B32" s="63"/>
      <c r="C32" s="425"/>
      <c r="D32" s="426"/>
      <c r="E32" s="425"/>
      <c r="F32" s="426"/>
      <c r="G32" s="425"/>
    </row>
    <row r="33" spans="1:7">
      <c r="A33" s="396"/>
      <c r="B33" s="67" t="s">
        <v>212</v>
      </c>
      <c r="C33" s="431">
        <v>142556</v>
      </c>
      <c r="D33" s="432">
        <v>164028</v>
      </c>
      <c r="E33" s="431">
        <v>130588</v>
      </c>
      <c r="F33" s="432">
        <v>134746</v>
      </c>
      <c r="G33" s="431">
        <v>123348</v>
      </c>
    </row>
    <row r="34" spans="1:7" ht="5.0999999999999996" customHeight="1">
      <c r="A34" s="396"/>
      <c r="B34" s="63"/>
      <c r="C34" s="425"/>
      <c r="D34" s="426"/>
      <c r="E34" s="425"/>
      <c r="F34" s="426"/>
      <c r="G34" s="425"/>
    </row>
    <row r="35" spans="1:7">
      <c r="A35" s="396"/>
      <c r="B35" s="65"/>
      <c r="C35" s="427"/>
      <c r="D35" s="430"/>
      <c r="E35" s="429"/>
      <c r="F35" s="430"/>
      <c r="G35" s="429"/>
    </row>
    <row r="36" spans="1:7">
      <c r="A36" s="396"/>
      <c r="B36" s="65" t="s">
        <v>68</v>
      </c>
      <c r="C36" s="427">
        <v>1298.4732625942852</v>
      </c>
      <c r="D36" s="428">
        <v>-6570.5442165842906</v>
      </c>
      <c r="E36" s="427">
        <v>-3954.7487256943677</v>
      </c>
      <c r="F36" s="428">
        <v>-12525.52764237882</v>
      </c>
      <c r="G36" s="427">
        <v>-3379.9177070984369</v>
      </c>
    </row>
    <row r="37" spans="1:7" ht="5.0999999999999996" customHeight="1">
      <c r="A37" s="396"/>
      <c r="B37" s="63"/>
      <c r="C37" s="425"/>
      <c r="D37" s="426"/>
      <c r="E37" s="425"/>
      <c r="F37" s="426"/>
      <c r="G37" s="425"/>
    </row>
    <row r="38" spans="1:7" s="412" customFormat="1">
      <c r="A38" s="396"/>
      <c r="B38" s="67" t="s">
        <v>213</v>
      </c>
      <c r="C38" s="431">
        <v>143854</v>
      </c>
      <c r="D38" s="432">
        <v>157457</v>
      </c>
      <c r="E38" s="431">
        <v>126633</v>
      </c>
      <c r="F38" s="432">
        <v>122220</v>
      </c>
      <c r="G38" s="431">
        <v>119968</v>
      </c>
    </row>
    <row r="39" spans="1:7" ht="5.0999999999999996" customHeight="1">
      <c r="A39" s="396"/>
      <c r="B39" s="63"/>
      <c r="C39" s="425"/>
      <c r="D39" s="426"/>
      <c r="E39" s="425"/>
      <c r="F39" s="426"/>
      <c r="G39" s="425"/>
    </row>
    <row r="40" spans="1:7">
      <c r="A40" s="396"/>
      <c r="B40" s="67" t="s">
        <v>50</v>
      </c>
      <c r="C40" s="427"/>
      <c r="D40" s="428"/>
      <c r="E40" s="427"/>
      <c r="F40" s="428"/>
      <c r="G40" s="427"/>
    </row>
    <row r="41" spans="1:7" ht="5.0999999999999996" customHeight="1">
      <c r="A41" s="396"/>
      <c r="B41" s="63"/>
      <c r="C41" s="425"/>
      <c r="D41" s="426"/>
      <c r="E41" s="425"/>
      <c r="F41" s="426"/>
      <c r="G41" s="425"/>
    </row>
    <row r="42" spans="1:7">
      <c r="A42" s="396"/>
      <c r="B42" s="65" t="s">
        <v>274</v>
      </c>
      <c r="C42" s="427">
        <v>-50475.61481092521</v>
      </c>
      <c r="D42" s="428">
        <v>-67699.524315807183</v>
      </c>
      <c r="E42" s="427">
        <v>-60888.324286443531</v>
      </c>
      <c r="F42" s="428">
        <v>-71552.375648518762</v>
      </c>
      <c r="G42" s="427">
        <v>-69260.995065608149</v>
      </c>
    </row>
    <row r="43" spans="1:7">
      <c r="A43" s="396"/>
      <c r="B43" s="392" t="s">
        <v>302</v>
      </c>
      <c r="C43" s="427">
        <v>-38999.45997798063</v>
      </c>
      <c r="D43" s="430">
        <v>-132229.61311723007</v>
      </c>
      <c r="E43" s="427">
        <v>-8080.6511913545783</v>
      </c>
      <c r="F43" s="430">
        <v>-3765.249712916007</v>
      </c>
      <c r="G43" s="427">
        <v>-78484.753737591964</v>
      </c>
    </row>
    <row r="44" spans="1:7">
      <c r="A44" s="396"/>
      <c r="B44" s="65" t="s">
        <v>135</v>
      </c>
      <c r="C44" s="427">
        <v>-10681.491374479963</v>
      </c>
      <c r="D44" s="428">
        <v>60065.181240244092</v>
      </c>
      <c r="E44" s="427">
        <v>-83058.41065660544</v>
      </c>
      <c r="F44" s="428">
        <v>54972.162992863981</v>
      </c>
      <c r="G44" s="427">
        <v>-53467.021899331434</v>
      </c>
    </row>
    <row r="45" spans="1:7">
      <c r="A45" s="396"/>
      <c r="B45" s="65" t="s">
        <v>339</v>
      </c>
      <c r="C45" s="427">
        <v>0</v>
      </c>
      <c r="D45" s="428">
        <v>0</v>
      </c>
      <c r="E45" s="427">
        <v>10048</v>
      </c>
      <c r="F45" s="428">
        <v>0</v>
      </c>
      <c r="G45" s="427">
        <v>0</v>
      </c>
    </row>
    <row r="46" spans="1:7">
      <c r="A46" s="396"/>
      <c r="B46" s="65" t="s">
        <v>266</v>
      </c>
      <c r="C46" s="427">
        <v>-13.877826458332493</v>
      </c>
      <c r="D46" s="428">
        <v>-0.43191883645806683</v>
      </c>
      <c r="E46" s="427">
        <v>6.1271169791723423E-2</v>
      </c>
      <c r="F46" s="428">
        <v>-75.06188400000002</v>
      </c>
      <c r="G46" s="427">
        <v>-16.541167279166075</v>
      </c>
    </row>
    <row r="47" spans="1:7" hidden="1">
      <c r="A47" s="396"/>
      <c r="B47" s="65"/>
      <c r="C47" s="427"/>
      <c r="D47" s="428"/>
      <c r="E47" s="427"/>
      <c r="F47" s="428"/>
      <c r="G47" s="427"/>
    </row>
    <row r="48" spans="1:7" ht="9.75" hidden="1" customHeight="1">
      <c r="A48" s="396"/>
      <c r="B48" s="65"/>
      <c r="C48" s="429"/>
      <c r="D48" s="430"/>
      <c r="E48" s="429"/>
      <c r="F48" s="430"/>
      <c r="G48" s="429"/>
    </row>
    <row r="49" spans="1:7" ht="9.75" hidden="1" customHeight="1">
      <c r="A49" s="396"/>
      <c r="B49" s="65" t="s">
        <v>267</v>
      </c>
      <c r="C49" s="429"/>
      <c r="D49" s="430"/>
      <c r="E49" s="429"/>
      <c r="F49" s="430"/>
      <c r="G49" s="429"/>
    </row>
    <row r="50" spans="1:7" ht="9.75" customHeight="1">
      <c r="A50" s="396"/>
      <c r="B50" s="65" t="s">
        <v>133</v>
      </c>
      <c r="C50" s="470">
        <v>2566.6618462169099</v>
      </c>
      <c r="D50" s="430">
        <v>3319.6666185033055</v>
      </c>
      <c r="E50" s="429">
        <v>0</v>
      </c>
      <c r="F50" s="430">
        <v>0</v>
      </c>
      <c r="G50" s="429">
        <v>0</v>
      </c>
    </row>
    <row r="51" spans="1:7">
      <c r="A51" s="396"/>
      <c r="B51" s="65" t="s">
        <v>268</v>
      </c>
      <c r="C51" s="427">
        <v>-25289</v>
      </c>
      <c r="D51" s="428">
        <v>-919</v>
      </c>
      <c r="E51" s="429">
        <v>0</v>
      </c>
      <c r="F51" s="430">
        <v>0</v>
      </c>
      <c r="G51" s="429">
        <v>-51.48766142118302</v>
      </c>
    </row>
    <row r="52" spans="1:7">
      <c r="A52" s="396"/>
      <c r="B52" s="65" t="s">
        <v>342</v>
      </c>
      <c r="C52" s="427">
        <v>0</v>
      </c>
      <c r="D52" s="428">
        <v>0</v>
      </c>
      <c r="E52" s="427">
        <v>8</v>
      </c>
      <c r="F52" s="428">
        <v>0</v>
      </c>
      <c r="G52" s="427">
        <v>0</v>
      </c>
    </row>
    <row r="53" spans="1:7" hidden="1">
      <c r="A53" s="396"/>
      <c r="B53" s="65" t="s">
        <v>330</v>
      </c>
      <c r="C53" s="427">
        <v>0</v>
      </c>
      <c r="D53" s="428">
        <v>0</v>
      </c>
      <c r="E53" s="427">
        <v>0</v>
      </c>
      <c r="F53" s="428">
        <v>0</v>
      </c>
      <c r="G53" s="427">
        <v>0</v>
      </c>
    </row>
    <row r="54" spans="1:7" ht="11.25" customHeight="1">
      <c r="A54" s="396"/>
      <c r="B54" s="63" t="s">
        <v>116</v>
      </c>
      <c r="C54" s="427">
        <v>0</v>
      </c>
      <c r="D54" s="428">
        <v>0</v>
      </c>
      <c r="E54" s="429">
        <v>0</v>
      </c>
      <c r="F54" s="428">
        <v>0</v>
      </c>
      <c r="G54" s="427">
        <v>20039</v>
      </c>
    </row>
    <row r="55" spans="1:7" ht="11.25" customHeight="1">
      <c r="A55" s="396"/>
      <c r="B55" s="63" t="s">
        <v>67</v>
      </c>
      <c r="C55" s="427">
        <v>2678.3358709725244</v>
      </c>
      <c r="D55" s="428">
        <v>581.43180340527647</v>
      </c>
      <c r="E55" s="429">
        <v>401.06620752592607</v>
      </c>
      <c r="F55" s="428">
        <v>392.03663445458119</v>
      </c>
      <c r="G55" s="427">
        <v>374.52812798675677</v>
      </c>
    </row>
    <row r="56" spans="1:7" ht="11.25" hidden="1" customHeight="1">
      <c r="A56" s="396"/>
      <c r="B56" s="63" t="s">
        <v>340</v>
      </c>
      <c r="C56" s="427">
        <v>0</v>
      </c>
      <c r="D56" s="519">
        <v>0</v>
      </c>
      <c r="E56" s="427">
        <v>0</v>
      </c>
      <c r="F56" s="428">
        <v>0</v>
      </c>
      <c r="G56" s="427">
        <v>0</v>
      </c>
    </row>
    <row r="57" spans="1:7" ht="12" customHeight="1">
      <c r="A57" s="396"/>
      <c r="B57" s="63"/>
      <c r="C57" s="427"/>
      <c r="D57" s="428"/>
      <c r="E57" s="429"/>
      <c r="F57" s="428"/>
      <c r="G57" s="427"/>
    </row>
    <row r="58" spans="1:7" s="412" customFormat="1">
      <c r="A58" s="396"/>
      <c r="B58" s="69" t="s">
        <v>225</v>
      </c>
      <c r="C58" s="431">
        <v>-120214</v>
      </c>
      <c r="D58" s="432">
        <v>-136881</v>
      </c>
      <c r="E58" s="431">
        <v>-141570</v>
      </c>
      <c r="F58" s="432">
        <v>-20028</v>
      </c>
      <c r="G58" s="431">
        <v>-180868</v>
      </c>
    </row>
    <row r="59" spans="1:7" ht="5.0999999999999996" customHeight="1">
      <c r="A59" s="396"/>
      <c r="B59" s="63"/>
      <c r="C59" s="425"/>
      <c r="D59" s="426"/>
      <c r="E59" s="425"/>
      <c r="F59" s="426"/>
      <c r="G59" s="425"/>
    </row>
    <row r="60" spans="1:7" s="412" customFormat="1">
      <c r="A60" s="396"/>
      <c r="B60" s="67" t="s">
        <v>51</v>
      </c>
      <c r="C60" s="431"/>
      <c r="D60" s="432"/>
      <c r="E60" s="431"/>
      <c r="F60" s="432"/>
      <c r="G60" s="431"/>
    </row>
    <row r="61" spans="1:7" ht="5.0999999999999996" customHeight="1">
      <c r="A61" s="396"/>
      <c r="B61" s="63"/>
      <c r="C61" s="425"/>
      <c r="D61" s="426"/>
      <c r="E61" s="425"/>
      <c r="F61" s="426"/>
      <c r="G61" s="425"/>
    </row>
    <row r="62" spans="1:7">
      <c r="A62" s="396"/>
      <c r="B62" s="66" t="s">
        <v>326</v>
      </c>
      <c r="C62" s="427">
        <v>22730.262279287388</v>
      </c>
      <c r="D62" s="428">
        <v>16379.726858592592</v>
      </c>
      <c r="E62" s="427">
        <v>-60116.971891604975</v>
      </c>
      <c r="F62" s="428">
        <v>-61420.981096695556</v>
      </c>
      <c r="G62" s="427">
        <v>56669.694353489947</v>
      </c>
    </row>
    <row r="63" spans="1:7">
      <c r="A63" s="396"/>
      <c r="B63" s="66" t="s">
        <v>327</v>
      </c>
      <c r="C63" s="427">
        <v>10852.09207709003</v>
      </c>
      <c r="D63" s="428">
        <v>-3788.2713054410078</v>
      </c>
      <c r="E63" s="427">
        <v>52487.573828348817</v>
      </c>
      <c r="F63" s="428">
        <v>4096.5075497721946</v>
      </c>
      <c r="G63" s="427">
        <v>-11879.408812888782</v>
      </c>
    </row>
    <row r="64" spans="1:7">
      <c r="A64" s="396"/>
      <c r="B64" s="467" t="s">
        <v>325</v>
      </c>
      <c r="C64" s="427">
        <v>-22224.992547945702</v>
      </c>
      <c r="D64" s="428">
        <v>-20335.40054931811</v>
      </c>
      <c r="E64" s="427">
        <v>-16243.946354852509</v>
      </c>
      <c r="F64" s="428">
        <v>-17623.040636960395</v>
      </c>
      <c r="G64" s="427">
        <v>-19273.126109424637</v>
      </c>
    </row>
    <row r="65" spans="1:8" ht="3" hidden="1" customHeight="1">
      <c r="A65" s="396"/>
      <c r="B65" s="467"/>
      <c r="C65" s="427"/>
      <c r="D65" s="428"/>
      <c r="E65" s="427"/>
      <c r="F65" s="428"/>
      <c r="G65" s="427"/>
      <c r="H65" s="438"/>
    </row>
    <row r="66" spans="1:8">
      <c r="A66" s="396"/>
      <c r="B66" s="66" t="s">
        <v>269</v>
      </c>
      <c r="C66" s="429">
        <v>-23.810707499999928</v>
      </c>
      <c r="D66" s="428">
        <v>-362.44429893999995</v>
      </c>
      <c r="E66" s="427">
        <v>-205.009635</v>
      </c>
      <c r="F66" s="428">
        <v>0</v>
      </c>
      <c r="G66" s="427">
        <v>2.4980018054066022E-16</v>
      </c>
    </row>
    <row r="67" spans="1:8" hidden="1">
      <c r="A67" s="396"/>
      <c r="B67" s="63"/>
      <c r="C67" s="429"/>
      <c r="D67" s="430"/>
      <c r="E67" s="429"/>
      <c r="F67" s="430"/>
      <c r="G67" s="429"/>
    </row>
    <row r="68" spans="1:8" hidden="1">
      <c r="A68" s="396"/>
      <c r="B68" s="66"/>
      <c r="C68" s="429"/>
      <c r="D68" s="430"/>
      <c r="E68" s="429"/>
      <c r="F68" s="430"/>
      <c r="G68" s="429"/>
    </row>
    <row r="69" spans="1:8" hidden="1" outlineLevel="1">
      <c r="A69" s="396"/>
      <c r="B69" s="66"/>
      <c r="C69" s="429"/>
      <c r="D69" s="430"/>
      <c r="E69" s="429"/>
      <c r="F69" s="430"/>
      <c r="G69" s="429"/>
    </row>
    <row r="70" spans="1:8" collapsed="1">
      <c r="A70" s="396"/>
      <c r="B70" s="66" t="s">
        <v>196</v>
      </c>
      <c r="C70" s="427">
        <v>-60313.148610812204</v>
      </c>
      <c r="D70" s="428">
        <v>-41428.461429768678</v>
      </c>
      <c r="E70" s="427">
        <v>-11120.170855944471</v>
      </c>
      <c r="F70" s="428">
        <v>-18727.389537107389</v>
      </c>
      <c r="G70" s="427">
        <v>-12054.482241150596</v>
      </c>
    </row>
    <row r="71" spans="1:8">
      <c r="A71" s="396"/>
      <c r="B71" s="66" t="s">
        <v>136</v>
      </c>
      <c r="C71" s="427">
        <v>-1372.9327243496327</v>
      </c>
      <c r="D71" s="428">
        <v>-6283.9597854516369</v>
      </c>
      <c r="E71" s="427">
        <v>-3783.0824552586482</v>
      </c>
      <c r="F71" s="428">
        <v>-2998.295796049747</v>
      </c>
      <c r="G71" s="427">
        <v>0.25566340448676783</v>
      </c>
    </row>
    <row r="72" spans="1:8">
      <c r="A72" s="396"/>
      <c r="B72" s="467" t="s">
        <v>321</v>
      </c>
      <c r="C72" s="427">
        <v>0</v>
      </c>
      <c r="D72" s="428">
        <v>0</v>
      </c>
      <c r="E72" s="429">
        <v>0</v>
      </c>
      <c r="F72" s="428">
        <v>0</v>
      </c>
      <c r="G72" s="427">
        <v>36048.398856690001</v>
      </c>
    </row>
    <row r="73" spans="1:8" outlineLevel="1">
      <c r="A73" s="396"/>
      <c r="B73" s="65" t="s">
        <v>137</v>
      </c>
      <c r="C73" s="429">
        <v>145.77462315328012</v>
      </c>
      <c r="D73" s="430">
        <v>13092.417049787673</v>
      </c>
      <c r="E73" s="429">
        <v>27673.322343546923</v>
      </c>
      <c r="F73" s="430">
        <v>0</v>
      </c>
      <c r="G73" s="427">
        <v>0</v>
      </c>
    </row>
    <row r="74" spans="1:8">
      <c r="A74" s="396"/>
      <c r="B74" s="65" t="s">
        <v>322</v>
      </c>
      <c r="C74" s="429">
        <v>-440.21905847218875</v>
      </c>
      <c r="D74" s="430">
        <v>-817.60947781536038</v>
      </c>
      <c r="E74" s="429">
        <v>-569.78054408011383</v>
      </c>
      <c r="F74" s="430">
        <v>1123.8935674393058</v>
      </c>
      <c r="G74" s="427">
        <v>-29.081506270844159</v>
      </c>
    </row>
    <row r="75" spans="1:8" ht="11.25" customHeight="1">
      <c r="A75" s="396"/>
      <c r="B75" s="65" t="s">
        <v>324</v>
      </c>
      <c r="C75" s="429">
        <v>-44.624267007452545</v>
      </c>
      <c r="D75" s="430">
        <v>-12525.39232735529</v>
      </c>
      <c r="E75" s="429">
        <v>-39.939909898836959</v>
      </c>
      <c r="F75" s="430">
        <v>-913</v>
      </c>
      <c r="G75" s="427">
        <v>-9997.6468555277825</v>
      </c>
    </row>
    <row r="76" spans="1:8">
      <c r="A76" s="396"/>
      <c r="B76" s="358" t="s">
        <v>343</v>
      </c>
      <c r="C76" s="429">
        <v>-28</v>
      </c>
      <c r="D76" s="430">
        <v>52254</v>
      </c>
      <c r="E76" s="429">
        <v>0</v>
      </c>
      <c r="F76" s="430">
        <v>0</v>
      </c>
      <c r="G76" s="427">
        <v>0</v>
      </c>
    </row>
    <row r="77" spans="1:8">
      <c r="A77" s="396"/>
      <c r="B77" s="503" t="s">
        <v>332</v>
      </c>
      <c r="C77" s="429">
        <v>6880.0000019803138</v>
      </c>
      <c r="D77" s="428">
        <v>0</v>
      </c>
      <c r="E77" s="429">
        <v>4000.0000000000005</v>
      </c>
      <c r="F77" s="428">
        <v>0</v>
      </c>
      <c r="G77" s="427">
        <v>7000</v>
      </c>
    </row>
    <row r="78" spans="1:8">
      <c r="A78" s="396"/>
      <c r="B78" s="358" t="s">
        <v>331</v>
      </c>
      <c r="C78" s="427">
        <v>0</v>
      </c>
      <c r="D78" s="428">
        <v>0</v>
      </c>
      <c r="E78" s="427">
        <v>0</v>
      </c>
      <c r="F78" s="430">
        <v>0</v>
      </c>
      <c r="G78" s="427">
        <v>0</v>
      </c>
    </row>
    <row r="79" spans="1:8" ht="5.0999999999999996" customHeight="1">
      <c r="A79" s="396"/>
      <c r="B79" s="63"/>
      <c r="C79" s="425"/>
      <c r="D79" s="426"/>
      <c r="E79" s="425"/>
      <c r="F79" s="426"/>
      <c r="G79" s="425"/>
    </row>
    <row r="80" spans="1:8" s="412" customFormat="1">
      <c r="A80" s="396"/>
      <c r="B80" s="69" t="s">
        <v>214</v>
      </c>
      <c r="C80" s="431">
        <v>-43840</v>
      </c>
      <c r="D80" s="432">
        <v>-3814</v>
      </c>
      <c r="E80" s="431">
        <v>-7918</v>
      </c>
      <c r="F80" s="432">
        <v>-96461</v>
      </c>
      <c r="G80" s="431">
        <v>46485</v>
      </c>
    </row>
    <row r="81" spans="1:8" ht="5.0999999999999996" customHeight="1">
      <c r="A81" s="396"/>
      <c r="B81" s="63"/>
      <c r="C81" s="425"/>
      <c r="D81" s="426"/>
      <c r="E81" s="425"/>
      <c r="F81" s="426"/>
      <c r="G81" s="425"/>
    </row>
    <row r="82" spans="1:8" ht="20.399999999999999">
      <c r="A82" s="396"/>
      <c r="B82" s="87" t="s">
        <v>253</v>
      </c>
      <c r="C82" s="431">
        <v>-20200</v>
      </c>
      <c r="D82" s="432">
        <v>16762</v>
      </c>
      <c r="E82" s="431">
        <v>-22855</v>
      </c>
      <c r="F82" s="432">
        <v>5731</v>
      </c>
      <c r="G82" s="431">
        <v>-14415</v>
      </c>
    </row>
    <row r="83" spans="1:8" s="433" customFormat="1">
      <c r="A83" s="396"/>
      <c r="B83" s="88" t="s">
        <v>215</v>
      </c>
      <c r="C83" s="427">
        <v>2911.7655487395073</v>
      </c>
      <c r="D83" s="428">
        <v>507.36302924063307</v>
      </c>
      <c r="E83" s="427">
        <v>-211.19957309119832</v>
      </c>
      <c r="F83" s="428">
        <v>711.00090954427242</v>
      </c>
      <c r="G83" s="427">
        <v>550.07079065717562</v>
      </c>
    </row>
    <row r="84" spans="1:8" ht="7.5" customHeight="1">
      <c r="A84" s="396"/>
      <c r="B84" s="65"/>
      <c r="C84" s="427"/>
      <c r="D84" s="428"/>
      <c r="E84" s="427"/>
      <c r="F84" s="428"/>
      <c r="G84" s="427"/>
    </row>
    <row r="85" spans="1:8">
      <c r="A85" s="396"/>
      <c r="B85" s="65" t="s">
        <v>216</v>
      </c>
      <c r="C85" s="427">
        <v>91275.104587692273</v>
      </c>
      <c r="D85" s="428">
        <v>74005.741558451642</v>
      </c>
      <c r="E85" s="427">
        <v>97071.941131542844</v>
      </c>
      <c r="F85" s="428">
        <v>90629.940221998564</v>
      </c>
      <c r="G85" s="427">
        <v>104496.86943134139</v>
      </c>
    </row>
    <row r="86" spans="1:8" s="412" customFormat="1">
      <c r="A86" s="396"/>
      <c r="B86" s="305" t="s">
        <v>217</v>
      </c>
      <c r="C86" s="434">
        <v>73986.870136431782</v>
      </c>
      <c r="D86" s="435">
        <v>91275.104587692273</v>
      </c>
      <c r="E86" s="434">
        <v>74005.741558451642</v>
      </c>
      <c r="F86" s="435">
        <v>97071.941131542844</v>
      </c>
      <c r="G86" s="434">
        <v>90629.940221998564</v>
      </c>
    </row>
    <row r="87" spans="1:8">
      <c r="D87" s="436"/>
      <c r="F87" s="437"/>
      <c r="G87" s="392"/>
    </row>
    <row r="88" spans="1:8" ht="12">
      <c r="B88" s="509"/>
      <c r="C88" s="508"/>
      <c r="D88" s="508"/>
      <c r="E88" s="508"/>
      <c r="F88" s="508"/>
      <c r="G88" s="510"/>
      <c r="H88" s="510"/>
    </row>
    <row r="89" spans="1:8">
      <c r="B89" s="508"/>
      <c r="C89" s="511"/>
      <c r="D89" s="500"/>
      <c r="E89" s="511"/>
      <c r="F89" s="500"/>
      <c r="G89" s="511"/>
      <c r="H89" s="510"/>
    </row>
    <row r="90" spans="1:8">
      <c r="B90" s="508"/>
      <c r="C90" s="511"/>
      <c r="D90" s="500"/>
      <c r="E90" s="511"/>
      <c r="F90" s="500"/>
      <c r="G90" s="511"/>
      <c r="H90" s="510"/>
    </row>
    <row r="91" spans="1:8">
      <c r="B91" s="508"/>
      <c r="C91" s="511"/>
      <c r="D91" s="500"/>
      <c r="E91" s="511"/>
      <c r="F91" s="500"/>
      <c r="G91" s="511"/>
      <c r="H91" s="510"/>
    </row>
    <row r="92" spans="1:8" ht="12">
      <c r="B92" s="512"/>
      <c r="C92" s="493"/>
      <c r="D92" s="513"/>
      <c r="E92" s="493"/>
      <c r="F92" s="513"/>
      <c r="G92" s="493"/>
      <c r="H92" s="510"/>
    </row>
    <row r="93" spans="1:8">
      <c r="D93" s="436"/>
      <c r="F93" s="437"/>
      <c r="G93" s="392"/>
    </row>
    <row r="94" spans="1:8">
      <c r="C94" s="324"/>
      <c r="D94" s="325"/>
      <c r="E94" s="324"/>
      <c r="F94" s="325"/>
      <c r="G94" s="324"/>
    </row>
    <row r="95" spans="1:8">
      <c r="C95" s="324"/>
      <c r="D95" s="325"/>
      <c r="E95" s="324"/>
      <c r="F95" s="325"/>
      <c r="G95" s="324"/>
    </row>
    <row r="96" spans="1:8">
      <c r="C96" s="324"/>
      <c r="D96" s="325"/>
      <c r="E96" s="324"/>
      <c r="F96" s="325"/>
      <c r="G96" s="324"/>
    </row>
    <row r="97" spans="3:7">
      <c r="C97" s="324"/>
      <c r="D97" s="324"/>
      <c r="E97" s="324"/>
      <c r="F97" s="324"/>
      <c r="G97" s="324"/>
    </row>
    <row r="98" spans="3:7">
      <c r="C98" s="324"/>
      <c r="D98" s="325"/>
      <c r="E98" s="324"/>
      <c r="F98" s="325"/>
      <c r="G98" s="324"/>
    </row>
    <row r="141" spans="3:7">
      <c r="C141" s="449"/>
      <c r="D141" s="449"/>
      <c r="E141" s="449"/>
      <c r="F141" s="450"/>
      <c r="G141" s="450"/>
    </row>
    <row r="167" spans="3:7">
      <c r="C167" s="457"/>
      <c r="D167" s="457"/>
      <c r="E167" s="457"/>
      <c r="F167" s="458"/>
      <c r="G167" s="458"/>
    </row>
  </sheetData>
  <mergeCells count="2">
    <mergeCell ref="B7:B8"/>
    <mergeCell ref="C7:G7"/>
  </mergeCells>
  <hyperlinks>
    <hyperlink ref="A1" location="Cover!E6" display="INDEX"/>
  </hyperlinks>
  <pageMargins left="0.23" right="0" top="1" bottom="1" header="0.5" footer="0.5"/>
  <pageSetup paperSize="9" scale="79" orientation="portrait" r:id="rId1"/>
  <headerFooter alignWithMargins="0"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3"/>
  <sheetViews>
    <sheetView showGridLines="0" view="pageBreakPreview" topLeftCell="A208" zoomScaleNormal="100" zoomScaleSheetLayoutView="100" workbookViewId="0">
      <selection activeCell="J224" sqref="J1:R1048576"/>
    </sheetView>
  </sheetViews>
  <sheetFormatPr defaultColWidth="9.109375" defaultRowHeight="10.199999999999999"/>
  <cols>
    <col min="1" max="1" width="7.109375" style="10" customWidth="1"/>
    <col min="2" max="2" width="36.44140625" style="2" customWidth="1"/>
    <col min="3" max="7" width="10.33203125" style="2" customWidth="1"/>
    <col min="8" max="8" width="2" style="2" customWidth="1"/>
    <col min="9" max="16384" width="9.109375" style="2"/>
  </cols>
  <sheetData>
    <row r="1" spans="1:9" ht="12">
      <c r="A1" s="264" t="s">
        <v>13</v>
      </c>
    </row>
    <row r="3" spans="1:9" ht="12.6" customHeight="1">
      <c r="A3" s="260">
        <v>4</v>
      </c>
      <c r="B3" s="1" t="s">
        <v>149</v>
      </c>
      <c r="C3" s="1"/>
      <c r="D3" s="1"/>
      <c r="E3" s="1"/>
      <c r="F3" s="1"/>
      <c r="G3" s="1"/>
    </row>
    <row r="4" spans="1:9" ht="12.6" customHeight="1">
      <c r="A4" s="20"/>
      <c r="B4" s="40"/>
      <c r="C4" s="40"/>
      <c r="D4" s="40"/>
      <c r="E4" s="40"/>
      <c r="F4" s="40"/>
      <c r="G4" s="3" t="str">
        <f>'Trends file-1'!$G$6</f>
        <v>Amount in Rs Mn, except ratios</v>
      </c>
      <c r="H4" s="40"/>
      <c r="I4" s="40"/>
    </row>
    <row r="5" spans="1:9" ht="12.6" customHeight="1">
      <c r="A5" s="20"/>
      <c r="B5" s="538" t="s">
        <v>0</v>
      </c>
      <c r="C5" s="541" t="s">
        <v>1</v>
      </c>
      <c r="D5" s="542"/>
      <c r="E5" s="542"/>
      <c r="F5" s="542"/>
      <c r="G5" s="542"/>
    </row>
    <row r="6" spans="1:9" ht="24.9" customHeight="1">
      <c r="A6" s="20"/>
      <c r="B6" s="538"/>
      <c r="C6" s="201">
        <f>'Trends file-1'!C8</f>
        <v>44651</v>
      </c>
      <c r="D6" s="201">
        <f>'Trends file-1'!D8</f>
        <v>44561</v>
      </c>
      <c r="E6" s="201">
        <f>'Trends file-1'!E8</f>
        <v>44469</v>
      </c>
      <c r="F6" s="201">
        <f>'Trends file-1'!F8</f>
        <v>44377</v>
      </c>
      <c r="G6" s="201">
        <f>'Trends file-1'!G8</f>
        <v>44286</v>
      </c>
      <c r="I6" s="42"/>
    </row>
    <row r="7" spans="1:9" ht="12.6" customHeight="1">
      <c r="A7" s="269"/>
      <c r="B7" s="51" t="s">
        <v>4</v>
      </c>
      <c r="C7" s="173">
        <v>315003.00430554175</v>
      </c>
      <c r="D7" s="245">
        <v>298666.36931549059</v>
      </c>
      <c r="E7" s="173">
        <v>283263.50166036584</v>
      </c>
      <c r="F7" s="245">
        <v>268536.23454978399</v>
      </c>
      <c r="G7" s="173">
        <v>257472.99999999994</v>
      </c>
      <c r="I7" s="85"/>
    </row>
    <row r="8" spans="1:9" ht="12.6" customHeight="1">
      <c r="A8" s="269"/>
      <c r="B8" s="504" t="s">
        <v>333</v>
      </c>
      <c r="C8" s="142">
        <v>315003.00430554175</v>
      </c>
      <c r="D8" s="162">
        <v>298666.36931549059</v>
      </c>
      <c r="E8" s="142">
        <v>283263.50166036584</v>
      </c>
      <c r="F8" s="162">
        <v>268536.23454978399</v>
      </c>
      <c r="G8" s="142">
        <v>257472.99999999994</v>
      </c>
      <c r="I8" s="85"/>
    </row>
    <row r="9" spans="1:9" ht="12.6" customHeight="1">
      <c r="A9" s="269"/>
      <c r="B9" s="52" t="s">
        <v>64</v>
      </c>
      <c r="C9" s="142">
        <v>159984.31954615872</v>
      </c>
      <c r="D9" s="162">
        <v>149047.21360054467</v>
      </c>
      <c r="E9" s="142">
        <v>140177.10667183279</v>
      </c>
      <c r="F9" s="162">
        <v>131894.364663941</v>
      </c>
      <c r="G9" s="142">
        <v>125830.99999999994</v>
      </c>
      <c r="I9" s="85"/>
    </row>
    <row r="10" spans="1:9" s="31" customFormat="1" ht="11.4">
      <c r="A10" s="269"/>
      <c r="B10" s="98" t="s">
        <v>65</v>
      </c>
      <c r="C10" s="174">
        <v>0.50788188480570684</v>
      </c>
      <c r="D10" s="246">
        <v>0.499042506667704</v>
      </c>
      <c r="E10" s="174">
        <v>0.49486469612278444</v>
      </c>
      <c r="F10" s="246">
        <v>0.4911604010723889</v>
      </c>
      <c r="G10" s="174">
        <v>0.48871532160653725</v>
      </c>
      <c r="I10" s="85"/>
    </row>
    <row r="11" spans="1:9">
      <c r="A11" s="269"/>
      <c r="B11" s="52" t="s">
        <v>15</v>
      </c>
      <c r="C11" s="142">
        <v>73149.267797574619</v>
      </c>
      <c r="D11" s="162">
        <v>63446.884629456647</v>
      </c>
      <c r="E11" s="142">
        <v>57563.989465593826</v>
      </c>
      <c r="F11" s="162">
        <v>54370.635682172957</v>
      </c>
      <c r="G11" s="142">
        <v>50479.999999999942</v>
      </c>
      <c r="I11" s="85"/>
    </row>
    <row r="12" spans="1:9">
      <c r="A12" s="269"/>
      <c r="B12" s="52" t="s">
        <v>9</v>
      </c>
      <c r="C12" s="142">
        <v>38980.497458923004</v>
      </c>
      <c r="D12" s="162">
        <v>43591.550486549997</v>
      </c>
      <c r="E12" s="142">
        <v>40444.965645988996</v>
      </c>
      <c r="F12" s="162">
        <v>40818.105372459999</v>
      </c>
      <c r="G12" s="142">
        <v>38586</v>
      </c>
      <c r="I12" s="85"/>
    </row>
    <row r="13" spans="1:9">
      <c r="A13" s="269"/>
      <c r="B13" s="51" t="s">
        <v>117</v>
      </c>
      <c r="C13" s="142">
        <v>7136.205719589997</v>
      </c>
      <c r="D13" s="162">
        <v>6160.9404409150002</v>
      </c>
      <c r="E13" s="142">
        <v>5988.2470952000012</v>
      </c>
      <c r="F13" s="162">
        <v>4946.63135117</v>
      </c>
      <c r="G13" s="142">
        <v>5274</v>
      </c>
      <c r="I13" s="85"/>
    </row>
    <row r="14" spans="1:9">
      <c r="A14" s="269"/>
      <c r="B14" s="51" t="s">
        <v>118</v>
      </c>
      <c r="C14" s="142">
        <v>41305.576058241611</v>
      </c>
      <c r="D14" s="162">
        <v>26016.874583821649</v>
      </c>
      <c r="E14" s="142">
        <v>23068.423953804824</v>
      </c>
      <c r="F14" s="162">
        <v>17454.315635882966</v>
      </c>
      <c r="G14" s="142">
        <v>15806.999999999942</v>
      </c>
      <c r="I14" s="85"/>
    </row>
    <row r="15" spans="1:9">
      <c r="A15" s="269"/>
      <c r="B15" s="51" t="s">
        <v>31</v>
      </c>
      <c r="C15" s="142">
        <v>14002.290687799003</v>
      </c>
      <c r="D15" s="162">
        <v>9907.5035326229936</v>
      </c>
      <c r="E15" s="142">
        <v>8491.2632321580022</v>
      </c>
      <c r="F15" s="162">
        <v>8344.8932383560004</v>
      </c>
      <c r="G15" s="142">
        <v>6495.0000000000009</v>
      </c>
      <c r="I15" s="85"/>
    </row>
    <row r="16" spans="1:9">
      <c r="A16" s="269"/>
      <c r="B16" s="376" t="s">
        <v>254</v>
      </c>
      <c r="C16" s="142">
        <v>27303.285370442609</v>
      </c>
      <c r="D16" s="162">
        <v>16109.371051198656</v>
      </c>
      <c r="E16" s="142">
        <v>14577.160721646822</v>
      </c>
      <c r="F16" s="162">
        <v>9109.4223975269651</v>
      </c>
      <c r="G16" s="142">
        <v>9311.9999999999418</v>
      </c>
      <c r="I16" s="85"/>
    </row>
    <row r="17" spans="1:9">
      <c r="A17" s="269"/>
      <c r="B17" s="377" t="s">
        <v>255</v>
      </c>
      <c r="C17" s="142">
        <v>8700.5523623999889</v>
      </c>
      <c r="D17" s="162">
        <v>8035.9210190150043</v>
      </c>
      <c r="E17" s="142">
        <v>8640.4019432610003</v>
      </c>
      <c r="F17" s="162">
        <v>6445.0325545399992</v>
      </c>
      <c r="G17" s="142">
        <v>6090</v>
      </c>
      <c r="I17" s="85"/>
    </row>
    <row r="18" spans="1:9">
      <c r="A18" s="269"/>
      <c r="B18" s="377" t="s">
        <v>256</v>
      </c>
      <c r="C18" s="142">
        <v>18602.733008042618</v>
      </c>
      <c r="D18" s="162">
        <v>8073.4500321836513</v>
      </c>
      <c r="E18" s="142">
        <v>5936.7587783858216</v>
      </c>
      <c r="F18" s="162">
        <v>2664.389842986966</v>
      </c>
      <c r="G18" s="142">
        <v>3221.9999999999418</v>
      </c>
      <c r="I18" s="85"/>
    </row>
    <row r="19" spans="1:9">
      <c r="A19" s="269"/>
      <c r="B19" s="376" t="s">
        <v>257</v>
      </c>
      <c r="C19" s="142">
        <v>-6911.6422458399993</v>
      </c>
      <c r="D19" s="162">
        <v>-397.9028127049998</v>
      </c>
      <c r="E19" s="142">
        <v>-5403.3448520000002</v>
      </c>
      <c r="F19" s="162">
        <v>-305.41519933000001</v>
      </c>
      <c r="G19" s="142">
        <v>-4235</v>
      </c>
      <c r="I19" s="85"/>
    </row>
    <row r="20" spans="1:9">
      <c r="A20" s="269"/>
      <c r="B20" s="376" t="s">
        <v>312</v>
      </c>
      <c r="C20" s="142">
        <v>-2934</v>
      </c>
      <c r="D20" s="162">
        <v>0</v>
      </c>
      <c r="E20" s="142">
        <v>0</v>
      </c>
      <c r="F20" s="162">
        <v>0</v>
      </c>
      <c r="G20" s="142">
        <v>-1564</v>
      </c>
      <c r="I20" s="85"/>
    </row>
    <row r="21" spans="1:9" ht="12" customHeight="1">
      <c r="A21" s="269"/>
      <c r="B21" s="378" t="s">
        <v>258</v>
      </c>
      <c r="C21" s="141">
        <v>37149.927616282606</v>
      </c>
      <c r="D21" s="230">
        <v>16507.273863903654</v>
      </c>
      <c r="E21" s="141">
        <v>19980.00557364682</v>
      </c>
      <c r="F21" s="230">
        <v>9414.3375968569653</v>
      </c>
      <c r="G21" s="141">
        <v>15110.999999999942</v>
      </c>
      <c r="I21" s="85"/>
    </row>
    <row r="22" spans="1:9" ht="12.6" customHeight="1">
      <c r="A22" s="269"/>
      <c r="B22" s="377" t="s">
        <v>255</v>
      </c>
      <c r="C22" s="142">
        <v>17072.064575089989</v>
      </c>
      <c r="D22" s="162">
        <v>8211.1404287840051</v>
      </c>
      <c r="E22" s="142">
        <v>8640.4019432610003</v>
      </c>
      <c r="F22" s="162">
        <v>6579.3710542849994</v>
      </c>
      <c r="G22" s="142">
        <v>7518</v>
      </c>
      <c r="I22" s="85"/>
    </row>
    <row r="23" spans="1:9" s="1" customFormat="1">
      <c r="A23" s="269"/>
      <c r="B23" s="379" t="s">
        <v>119</v>
      </c>
      <c r="C23" s="141">
        <v>20078.263041192618</v>
      </c>
      <c r="D23" s="230">
        <v>8295.7334351196514</v>
      </c>
      <c r="E23" s="141">
        <v>11340.453630385822</v>
      </c>
      <c r="F23" s="230">
        <v>2835.4665425719659</v>
      </c>
      <c r="G23" s="141">
        <v>7591.9999999999418</v>
      </c>
      <c r="I23" s="85"/>
    </row>
    <row r="24" spans="1:9" s="1" customFormat="1">
      <c r="A24" s="269"/>
      <c r="B24" s="51" t="s">
        <v>60</v>
      </c>
      <c r="C24" s="142">
        <v>59970.984244730513</v>
      </c>
      <c r="D24" s="162">
        <v>61014.83464892763</v>
      </c>
      <c r="E24" s="142">
        <v>69722.473203227186</v>
      </c>
      <c r="F24" s="162">
        <v>65907.794806095539</v>
      </c>
      <c r="G24" s="142">
        <v>68464.59186200051</v>
      </c>
      <c r="I24" s="85"/>
    </row>
    <row r="25" spans="1:9" s="1" customFormat="1">
      <c r="A25" s="269"/>
      <c r="B25" s="51" t="s">
        <v>61</v>
      </c>
      <c r="C25" s="142">
        <v>100013.3353014282</v>
      </c>
      <c r="D25" s="162">
        <v>88032.378951617036</v>
      </c>
      <c r="E25" s="142">
        <v>70454.633468605607</v>
      </c>
      <c r="F25" s="162">
        <v>65986.569857845461</v>
      </c>
      <c r="G25" s="142">
        <v>57366.408137999431</v>
      </c>
      <c r="I25" s="85"/>
    </row>
    <row r="26" spans="1:9">
      <c r="A26" s="269"/>
      <c r="B26" s="95" t="s">
        <v>69</v>
      </c>
      <c r="C26" s="175">
        <v>4231487.4130608058</v>
      </c>
      <c r="D26" s="247">
        <v>4179029.4937562509</v>
      </c>
      <c r="E26" s="175">
        <v>4142438.5943676643</v>
      </c>
      <c r="F26" s="247">
        <v>4061359.9828637796</v>
      </c>
      <c r="G26" s="175">
        <v>3884792.3512980668</v>
      </c>
    </row>
    <row r="27" spans="1:9" s="31" customFormat="1" ht="21.75" customHeight="1">
      <c r="A27" s="33"/>
      <c r="B27" s="551" t="s">
        <v>337</v>
      </c>
      <c r="C27" s="551"/>
      <c r="D27" s="551"/>
      <c r="E27" s="551"/>
      <c r="F27" s="551"/>
      <c r="G27" s="551"/>
    </row>
    <row r="28" spans="1:9" ht="12.6" customHeight="1">
      <c r="A28" s="19"/>
      <c r="B28" s="262" t="s">
        <v>150</v>
      </c>
      <c r="C28" s="1"/>
      <c r="D28" s="1"/>
      <c r="E28" s="1"/>
      <c r="F28" s="1"/>
      <c r="G28" s="1"/>
    </row>
    <row r="29" spans="1:9" ht="12.6" customHeight="1">
      <c r="A29" s="19"/>
      <c r="B29" s="1"/>
      <c r="C29" s="1"/>
      <c r="D29" s="1"/>
      <c r="E29" s="1"/>
      <c r="F29" s="1"/>
      <c r="G29" s="1"/>
    </row>
    <row r="30" spans="1:9" ht="12.6" customHeight="1">
      <c r="A30" s="260">
        <v>4.0999999999999996</v>
      </c>
      <c r="B30" s="1" t="s">
        <v>151</v>
      </c>
      <c r="C30" s="1"/>
      <c r="D30" s="1"/>
      <c r="E30" s="1"/>
      <c r="F30" s="1"/>
      <c r="G30" s="1"/>
    </row>
    <row r="31" spans="1:9" ht="12.6" customHeight="1">
      <c r="A31" s="19"/>
      <c r="B31" s="1"/>
      <c r="C31" s="1"/>
      <c r="D31" s="1"/>
      <c r="E31" s="1"/>
      <c r="F31" s="1"/>
      <c r="G31" s="3" t="str">
        <f>'Trends file-1'!$G$6</f>
        <v>Amount in Rs Mn, except ratios</v>
      </c>
    </row>
    <row r="32" spans="1:9" ht="12.6" customHeight="1">
      <c r="A32" s="19"/>
      <c r="B32" s="539" t="s">
        <v>0</v>
      </c>
      <c r="C32" s="541" t="s">
        <v>1</v>
      </c>
      <c r="D32" s="542"/>
      <c r="E32" s="542"/>
      <c r="F32" s="542"/>
      <c r="G32" s="542"/>
    </row>
    <row r="33" spans="1:7" ht="24" customHeight="1">
      <c r="A33" s="19"/>
      <c r="B33" s="540"/>
      <c r="C33" s="201">
        <f>$C$6</f>
        <v>44651</v>
      </c>
      <c r="D33" s="201">
        <f>$D$6</f>
        <v>44561</v>
      </c>
      <c r="E33" s="201">
        <f>$E$6</f>
        <v>44469</v>
      </c>
      <c r="F33" s="201">
        <f>$F$6</f>
        <v>44377</v>
      </c>
      <c r="G33" s="201">
        <f>$G$6</f>
        <v>44286</v>
      </c>
    </row>
    <row r="34" spans="1:7" ht="12.6" customHeight="1">
      <c r="A34" s="269"/>
      <c r="B34" s="40" t="s">
        <v>4</v>
      </c>
      <c r="C34" s="39">
        <v>225895.0658889511</v>
      </c>
      <c r="D34" s="138">
        <v>210022.65803814903</v>
      </c>
      <c r="E34" s="39">
        <v>199791.80188571211</v>
      </c>
      <c r="F34" s="138">
        <v>189167.92644718997</v>
      </c>
      <c r="G34" s="39">
        <v>184268.99999999997</v>
      </c>
    </row>
    <row r="35" spans="1:7" ht="12.6" customHeight="1">
      <c r="A35" s="269"/>
      <c r="B35" s="504" t="s">
        <v>333</v>
      </c>
      <c r="C35" s="177">
        <v>225895.0658889511</v>
      </c>
      <c r="D35" s="491">
        <v>210022.65803814903</v>
      </c>
      <c r="E35" s="177">
        <v>199791.80188571211</v>
      </c>
      <c r="F35" s="491">
        <v>189167.92644718997</v>
      </c>
      <c r="G35" s="177">
        <v>184268.99999999997</v>
      </c>
    </row>
    <row r="36" spans="1:7" ht="12.6" customHeight="1">
      <c r="A36" s="269"/>
      <c r="B36" s="52" t="s">
        <v>120</v>
      </c>
      <c r="C36" s="177">
        <v>186229.529292522</v>
      </c>
      <c r="D36" s="491">
        <v>173346.18784301102</v>
      </c>
      <c r="E36" s="177">
        <v>164288.80289072002</v>
      </c>
      <c r="F36" s="491">
        <v>155202.98491252202</v>
      </c>
      <c r="G36" s="177">
        <v>151830</v>
      </c>
    </row>
    <row r="37" spans="1:7" ht="12.6" customHeight="1">
      <c r="A37" s="269"/>
      <c r="B37" s="40" t="s">
        <v>64</v>
      </c>
      <c r="C37" s="177">
        <v>114200.69373140321</v>
      </c>
      <c r="D37" s="491">
        <v>103857.91893545401</v>
      </c>
      <c r="E37" s="177">
        <v>98434.66796968806</v>
      </c>
      <c r="F37" s="491">
        <v>92623.442093773978</v>
      </c>
      <c r="G37" s="177">
        <v>89579.999999999971</v>
      </c>
    </row>
    <row r="38" spans="1:7" ht="12.6" customHeight="1">
      <c r="A38" s="269"/>
      <c r="B38" s="100" t="s">
        <v>65</v>
      </c>
      <c r="C38" s="489">
        <v>0.50554753501142746</v>
      </c>
      <c r="D38" s="492">
        <v>0.49450816357437494</v>
      </c>
      <c r="E38" s="489">
        <v>0.49268622155976216</v>
      </c>
      <c r="F38" s="492">
        <v>0.48963608066841963</v>
      </c>
      <c r="G38" s="489">
        <v>0.48613711476157134</v>
      </c>
    </row>
    <row r="39" spans="1:7" ht="12.6" customHeight="1">
      <c r="A39" s="269"/>
      <c r="B39" s="261" t="s">
        <v>15</v>
      </c>
      <c r="C39" s="177">
        <v>41567.14901533119</v>
      </c>
      <c r="D39" s="491">
        <v>32508.410241958001</v>
      </c>
      <c r="E39" s="177">
        <v>29507.535672055048</v>
      </c>
      <c r="F39" s="491">
        <v>28446.620623978968</v>
      </c>
      <c r="G39" s="177">
        <v>27151.999999999978</v>
      </c>
    </row>
    <row r="40" spans="1:7" ht="12.6" customHeight="1">
      <c r="A40" s="269"/>
      <c r="B40" s="51" t="s">
        <v>118</v>
      </c>
      <c r="C40" s="142">
        <v>14015.109191805197</v>
      </c>
      <c r="D40" s="380">
        <v>6453.5023593680089</v>
      </c>
      <c r="E40" s="142">
        <v>5135.3168358330513</v>
      </c>
      <c r="F40" s="380">
        <v>-3344.0755593220274</v>
      </c>
      <c r="G40" s="142">
        <v>-1263.4854840000226</v>
      </c>
    </row>
    <row r="41" spans="1:7" ht="12.6" hidden="1" customHeight="1">
      <c r="A41" s="269"/>
      <c r="B41" s="376" t="s">
        <v>31</v>
      </c>
      <c r="C41" s="142">
        <v>3856.8157892500003</v>
      </c>
      <c r="D41" s="380">
        <v>975.53579960600041</v>
      </c>
      <c r="E41" s="142">
        <v>416.01642878200028</v>
      </c>
      <c r="F41" s="380">
        <v>-791.93146464000029</v>
      </c>
      <c r="G41" s="142">
        <v>109</v>
      </c>
    </row>
    <row r="42" spans="1:7" ht="12.6" customHeight="1">
      <c r="A42" s="269"/>
      <c r="B42" s="378" t="s">
        <v>259</v>
      </c>
      <c r="C42" s="141">
        <v>10158.293402555197</v>
      </c>
      <c r="D42" s="381">
        <v>5477.9665597620087</v>
      </c>
      <c r="E42" s="141">
        <v>4719.3004070510506</v>
      </c>
      <c r="F42" s="381">
        <v>-2552.1440946820271</v>
      </c>
      <c r="G42" s="141">
        <v>-1372.4854840000226</v>
      </c>
    </row>
    <row r="43" spans="1:7" ht="12.6" customHeight="1">
      <c r="A43" s="269"/>
      <c r="B43" s="377" t="s">
        <v>255</v>
      </c>
      <c r="C43" s="142">
        <v>1644.4954415849986</v>
      </c>
      <c r="D43" s="380">
        <v>1213.0253714690004</v>
      </c>
      <c r="E43" s="142">
        <v>1245.0730114539999</v>
      </c>
      <c r="F43" s="380">
        <v>1340.0633911150001</v>
      </c>
      <c r="G43" s="142">
        <v>984</v>
      </c>
    </row>
    <row r="44" spans="1:7" ht="12.6" customHeight="1">
      <c r="A44" s="269"/>
      <c r="B44" s="379" t="s">
        <v>256</v>
      </c>
      <c r="C44" s="490">
        <v>8513.7979609701979</v>
      </c>
      <c r="D44" s="493">
        <v>4264.9411882930081</v>
      </c>
      <c r="E44" s="490">
        <v>3474.2273955970513</v>
      </c>
      <c r="F44" s="493">
        <v>-3892.2074857970274</v>
      </c>
      <c r="G44" s="490">
        <v>-2356.4854840000226</v>
      </c>
    </row>
    <row r="45" spans="1:7" ht="12.6" customHeight="1">
      <c r="A45" s="269"/>
      <c r="B45" s="78" t="s">
        <v>60</v>
      </c>
      <c r="C45" s="91">
        <v>43155.147063843731</v>
      </c>
      <c r="D45" s="488">
        <v>47049.752565594295</v>
      </c>
      <c r="E45" s="142">
        <v>59407.351818749652</v>
      </c>
      <c r="F45" s="380">
        <v>58113.084806095532</v>
      </c>
      <c r="G45" s="142">
        <v>53007.259362000492</v>
      </c>
    </row>
    <row r="46" spans="1:7" ht="12.6" customHeight="1">
      <c r="A46" s="269"/>
      <c r="B46" s="78" t="s">
        <v>61</v>
      </c>
      <c r="C46" s="89">
        <v>71045.54666755948</v>
      </c>
      <c r="D46" s="249">
        <v>56808.166369859719</v>
      </c>
      <c r="E46" s="89">
        <v>39027.316150938408</v>
      </c>
      <c r="F46" s="249">
        <v>34510.357287678446</v>
      </c>
      <c r="G46" s="89">
        <v>36572.740637999479</v>
      </c>
    </row>
    <row r="47" spans="1:7" ht="12.6" customHeight="1">
      <c r="A47" s="269"/>
      <c r="B47" s="90" t="s">
        <v>69</v>
      </c>
      <c r="C47" s="92">
        <v>3538863.3872631025</v>
      </c>
      <c r="D47" s="250">
        <v>3509004.8424595501</v>
      </c>
      <c r="E47" s="92">
        <v>3472504.1874944214</v>
      </c>
      <c r="F47" s="250">
        <v>3402127.7569419113</v>
      </c>
      <c r="G47" s="92">
        <v>3230503.793164684</v>
      </c>
    </row>
    <row r="48" spans="1:7" customFormat="1" ht="22.5" customHeight="1">
      <c r="B48" s="550"/>
      <c r="C48" s="550"/>
      <c r="D48" s="550"/>
      <c r="E48" s="550"/>
      <c r="F48" s="550"/>
      <c r="G48" s="550"/>
    </row>
    <row r="49" spans="1:7" customFormat="1" ht="13.2">
      <c r="B49" s="505"/>
      <c r="C49" s="505"/>
      <c r="D49" s="505"/>
      <c r="E49" s="505"/>
      <c r="F49" s="505"/>
      <c r="G49" s="505"/>
    </row>
    <row r="50" spans="1:7" ht="12" customHeight="1">
      <c r="A50" s="260" t="s">
        <v>111</v>
      </c>
      <c r="B50" s="1" t="s">
        <v>152</v>
      </c>
      <c r="C50" s="1"/>
      <c r="D50" s="1"/>
      <c r="E50" s="1"/>
      <c r="F50" s="1"/>
      <c r="G50" s="1"/>
    </row>
    <row r="51" spans="1:7" ht="12.6" customHeight="1">
      <c r="A51" s="19"/>
      <c r="B51" s="1"/>
      <c r="C51" s="1"/>
      <c r="D51" s="1"/>
      <c r="E51" s="1"/>
      <c r="F51" s="1"/>
      <c r="G51" s="3" t="str">
        <f>'Trends file-1'!$G$6</f>
        <v>Amount in Rs Mn, except ratios</v>
      </c>
    </row>
    <row r="52" spans="1:7" ht="12.6" customHeight="1">
      <c r="A52" s="19"/>
      <c r="B52" s="539" t="s">
        <v>0</v>
      </c>
      <c r="C52" s="541" t="s">
        <v>1</v>
      </c>
      <c r="D52" s="542"/>
      <c r="E52" s="542"/>
      <c r="F52" s="542"/>
      <c r="G52" s="542"/>
    </row>
    <row r="53" spans="1:7" ht="24" customHeight="1">
      <c r="A53" s="19"/>
      <c r="B53" s="540"/>
      <c r="C53" s="201">
        <f>$C$6</f>
        <v>44651</v>
      </c>
      <c r="D53" s="201">
        <f>$D$6</f>
        <v>44561</v>
      </c>
      <c r="E53" s="201">
        <f>$E$6</f>
        <v>44469</v>
      </c>
      <c r="F53" s="201">
        <f>$F$6</f>
        <v>44377</v>
      </c>
      <c r="G53" s="201">
        <f>$G$6</f>
        <v>44286</v>
      </c>
    </row>
    <row r="54" spans="1:7" ht="12.6" customHeight="1">
      <c r="A54" s="269"/>
      <c r="B54" s="40" t="s">
        <v>4</v>
      </c>
      <c r="C54" s="39">
        <v>225003.61134389494</v>
      </c>
      <c r="D54" s="138">
        <v>209126.82130546702</v>
      </c>
      <c r="E54" s="39">
        <v>198904.26806956498</v>
      </c>
      <c r="F54" s="138">
        <v>188283.79427568</v>
      </c>
      <c r="G54" s="39">
        <v>183378</v>
      </c>
    </row>
    <row r="55" spans="1:7" ht="12.6" customHeight="1">
      <c r="A55" s="269"/>
      <c r="B55" s="504" t="s">
        <v>333</v>
      </c>
      <c r="C55" s="38">
        <v>225003.61134389494</v>
      </c>
      <c r="D55" s="137">
        <v>209126.82130546702</v>
      </c>
      <c r="E55" s="38">
        <v>198904.26806956498</v>
      </c>
      <c r="F55" s="137">
        <v>188283.79427568</v>
      </c>
      <c r="G55" s="38">
        <v>183378</v>
      </c>
    </row>
    <row r="56" spans="1:7" ht="12.6" customHeight="1">
      <c r="A56" s="269"/>
      <c r="B56" s="52" t="s">
        <v>120</v>
      </c>
      <c r="C56" s="38">
        <v>185623.04833685502</v>
      </c>
      <c r="D56" s="137">
        <v>172749.32940518399</v>
      </c>
      <c r="E56" s="38">
        <v>163678.43800207402</v>
      </c>
      <c r="F56" s="137">
        <v>154582.76163687499</v>
      </c>
      <c r="G56" s="38">
        <v>151195.26519213899</v>
      </c>
    </row>
    <row r="57" spans="1:7" ht="12.6" customHeight="1">
      <c r="A57" s="269"/>
      <c r="B57" s="40" t="s">
        <v>64</v>
      </c>
      <c r="C57" s="38">
        <v>114360.65815897494</v>
      </c>
      <c r="D57" s="137">
        <v>104066.70838673798</v>
      </c>
      <c r="E57" s="38">
        <v>98575.998176374953</v>
      </c>
      <c r="F57" s="137">
        <v>92734.138141459989</v>
      </c>
      <c r="G57" s="38">
        <v>89702.464670903937</v>
      </c>
    </row>
    <row r="58" spans="1:7" ht="12.6" customHeight="1">
      <c r="A58" s="269"/>
      <c r="B58" s="100" t="s">
        <v>65</v>
      </c>
      <c r="C58" s="101">
        <v>0.50826143400954749</v>
      </c>
      <c r="D58" s="248">
        <v>0.49762487536082228</v>
      </c>
      <c r="E58" s="101">
        <v>0.49559518824351667</v>
      </c>
      <c r="F58" s="248">
        <v>0.49252320678051126</v>
      </c>
      <c r="G58" s="101">
        <v>0.4891669920650456</v>
      </c>
    </row>
    <row r="59" spans="1:7" ht="12.6" customHeight="1">
      <c r="A59" s="269"/>
      <c r="B59" s="261" t="s">
        <v>15</v>
      </c>
      <c r="C59" s="38">
        <v>42194.515877994956</v>
      </c>
      <c r="D59" s="137">
        <v>33195.026075300004</v>
      </c>
      <c r="E59" s="38">
        <v>30097.734298191921</v>
      </c>
      <c r="F59" s="137">
        <v>28964.419403060005</v>
      </c>
      <c r="G59" s="38">
        <v>27631.759235654892</v>
      </c>
    </row>
    <row r="60" spans="1:7" ht="12.6" customHeight="1">
      <c r="A60" s="269"/>
      <c r="B60" s="51" t="s">
        <v>118</v>
      </c>
      <c r="C60" s="142">
        <v>15040.926510856934</v>
      </c>
      <c r="D60" s="162">
        <v>7373.6455234480236</v>
      </c>
      <c r="E60" s="142">
        <v>5665.2907775339154</v>
      </c>
      <c r="F60" s="162">
        <v>-2424.0299032999901</v>
      </c>
      <c r="G60" s="142">
        <v>-268.13012195410192</v>
      </c>
    </row>
    <row r="61" spans="1:7" ht="12.6" hidden="1" customHeight="1">
      <c r="A61" s="269"/>
      <c r="B61" s="376" t="s">
        <v>31</v>
      </c>
      <c r="C61" s="142">
        <v>3856.8157892500003</v>
      </c>
      <c r="D61" s="162">
        <v>975.53579960600041</v>
      </c>
      <c r="E61" s="142">
        <v>416.01642878200028</v>
      </c>
      <c r="F61" s="162">
        <v>-791.93146464000029</v>
      </c>
      <c r="G61" s="142">
        <v>109.1039019770069</v>
      </c>
    </row>
    <row r="62" spans="1:7" ht="12.6" customHeight="1">
      <c r="A62" s="269"/>
      <c r="B62" s="378" t="s">
        <v>259</v>
      </c>
      <c r="C62" s="141">
        <v>11184.110721606934</v>
      </c>
      <c r="D62" s="230">
        <v>6398.1097238420234</v>
      </c>
      <c r="E62" s="141">
        <v>5249.2743487519147</v>
      </c>
      <c r="F62" s="230">
        <v>-1632.0984386599898</v>
      </c>
      <c r="G62" s="141">
        <v>-377.23402393110882</v>
      </c>
    </row>
    <row r="63" spans="1:7" ht="12.6" customHeight="1">
      <c r="A63" s="269"/>
      <c r="B63" s="377" t="s">
        <v>255</v>
      </c>
      <c r="C63" s="142">
        <v>1644.4954415849986</v>
      </c>
      <c r="D63" s="162">
        <v>1213.0253714690004</v>
      </c>
      <c r="E63" s="142">
        <v>1245.0730114539999</v>
      </c>
      <c r="F63" s="162">
        <v>1340.0633911150001</v>
      </c>
      <c r="G63" s="142">
        <v>983.36369076900155</v>
      </c>
    </row>
    <row r="64" spans="1:7" ht="12.6" customHeight="1">
      <c r="A64" s="269"/>
      <c r="B64" s="379" t="s">
        <v>256</v>
      </c>
      <c r="C64" s="382">
        <v>9539.6152800219352</v>
      </c>
      <c r="D64" s="383">
        <v>5185.0843523730227</v>
      </c>
      <c r="E64" s="382">
        <v>4004.2013372979154</v>
      </c>
      <c r="F64" s="383">
        <v>-2972.1618297749901</v>
      </c>
      <c r="G64" s="382">
        <v>-1360.5977147001104</v>
      </c>
    </row>
    <row r="65" spans="1:9" ht="12.6" customHeight="1">
      <c r="A65" s="269"/>
      <c r="B65" s="78" t="s">
        <v>60</v>
      </c>
      <c r="C65" s="91">
        <v>42767.088861378732</v>
      </c>
      <c r="D65" s="135">
        <v>46537.760247941296</v>
      </c>
      <c r="E65" s="91">
        <v>57993.197180221643</v>
      </c>
      <c r="F65" s="135">
        <v>57135.005778502542</v>
      </c>
      <c r="G65" s="91">
        <v>51413.926994751499</v>
      </c>
    </row>
    <row r="66" spans="1:9" ht="12.6" customHeight="1">
      <c r="A66" s="269"/>
      <c r="B66" s="78" t="s">
        <v>61</v>
      </c>
      <c r="C66" s="89">
        <v>71593.569297596201</v>
      </c>
      <c r="D66" s="249">
        <v>57528.948138796688</v>
      </c>
      <c r="E66" s="89">
        <v>40582.80099615331</v>
      </c>
      <c r="F66" s="249">
        <v>35599.132362957447</v>
      </c>
      <c r="G66" s="89">
        <v>38288.537676152439</v>
      </c>
    </row>
    <row r="67" spans="1:9" ht="12.6" customHeight="1">
      <c r="A67" s="269"/>
      <c r="B67" s="90" t="s">
        <v>69</v>
      </c>
      <c r="C67" s="92">
        <v>3498206.9875621744</v>
      </c>
      <c r="D67" s="250">
        <v>3461603.2483519199</v>
      </c>
      <c r="E67" s="92">
        <v>3426398.8034216757</v>
      </c>
      <c r="F67" s="250">
        <v>3357339.4011384994</v>
      </c>
      <c r="G67" s="92">
        <v>3187006.3101971848</v>
      </c>
    </row>
    <row r="68" spans="1:9" customFormat="1" ht="28.5" customHeight="1">
      <c r="B68" s="551" t="s">
        <v>334</v>
      </c>
      <c r="C68" s="551"/>
      <c r="D68" s="551"/>
      <c r="E68" s="551"/>
      <c r="F68" s="551"/>
      <c r="G68" s="551"/>
    </row>
    <row r="69" spans="1:9" ht="12.6" customHeight="1">
      <c r="A69" s="20"/>
      <c r="B69" s="99" t="s">
        <v>71</v>
      </c>
      <c r="C69" s="1"/>
      <c r="D69" s="1"/>
      <c r="E69" s="1"/>
      <c r="F69" s="1"/>
      <c r="G69" s="1"/>
    </row>
    <row r="70" spans="1:9" customFormat="1" ht="12.6" customHeight="1"/>
    <row r="71" spans="1:9" ht="12.6" customHeight="1">
      <c r="A71" s="19" t="s">
        <v>123</v>
      </c>
      <c r="B71" s="1" t="s">
        <v>112</v>
      </c>
      <c r="C71" s="1"/>
      <c r="D71" s="1"/>
      <c r="E71" s="1"/>
      <c r="F71" s="1"/>
      <c r="G71" s="1"/>
    </row>
    <row r="72" spans="1:9" ht="12.6" customHeight="1">
      <c r="A72" s="20"/>
      <c r="G72" s="3" t="str">
        <f>'Trends file-1'!$G$6</f>
        <v>Amount in Rs Mn, except ratios</v>
      </c>
      <c r="H72" s="30"/>
      <c r="I72" s="30"/>
    </row>
    <row r="73" spans="1:9" ht="12.75" customHeight="1">
      <c r="A73" s="20"/>
      <c r="B73" s="539" t="s">
        <v>0</v>
      </c>
      <c r="C73" s="541" t="s">
        <v>1</v>
      </c>
      <c r="D73" s="542"/>
      <c r="E73" s="542"/>
      <c r="F73" s="542"/>
      <c r="G73" s="542"/>
      <c r="H73" s="327"/>
      <c r="I73" s="327"/>
    </row>
    <row r="74" spans="1:9" ht="24.9" customHeight="1">
      <c r="A74" s="20"/>
      <c r="B74" s="540"/>
      <c r="C74" s="201">
        <f>$C$6</f>
        <v>44651</v>
      </c>
      <c r="D74" s="201">
        <f>$D$6</f>
        <v>44561</v>
      </c>
      <c r="E74" s="201">
        <f>$E$6</f>
        <v>44469</v>
      </c>
      <c r="F74" s="201">
        <f>$F$6</f>
        <v>44377</v>
      </c>
      <c r="G74" s="201">
        <f>$G$6</f>
        <v>44286</v>
      </c>
      <c r="H74" s="8"/>
      <c r="I74" s="8"/>
    </row>
    <row r="75" spans="1:9" ht="12.6" customHeight="1">
      <c r="A75" s="270"/>
      <c r="B75" s="2" t="s">
        <v>4</v>
      </c>
      <c r="C75" s="39">
        <v>176167.89147959492</v>
      </c>
      <c r="D75" s="138">
        <v>160917.03998599999</v>
      </c>
      <c r="E75" s="39">
        <v>151913.70415900002</v>
      </c>
      <c r="F75" s="138">
        <v>143055.61118499999</v>
      </c>
      <c r="G75" s="39">
        <v>140797.52852500009</v>
      </c>
      <c r="H75" s="5"/>
      <c r="I75" s="85"/>
    </row>
    <row r="76" spans="1:9" ht="12.6" customHeight="1">
      <c r="A76" s="270"/>
      <c r="B76" s="504" t="s">
        <v>333</v>
      </c>
      <c r="C76" s="38">
        <v>176167.89147959492</v>
      </c>
      <c r="D76" s="137">
        <v>160917.03998599999</v>
      </c>
      <c r="E76" s="38">
        <v>151913.70415900002</v>
      </c>
      <c r="F76" s="137">
        <v>143055.61118499999</v>
      </c>
      <c r="G76" s="38">
        <v>140797.52852500009</v>
      </c>
      <c r="H76" s="5"/>
      <c r="I76" s="85"/>
    </row>
    <row r="77" spans="1:9" ht="12.6" customHeight="1">
      <c r="A77" s="270"/>
      <c r="B77" s="2" t="s">
        <v>64</v>
      </c>
      <c r="C77" s="38">
        <v>89215.332343384929</v>
      </c>
      <c r="D77" s="137">
        <v>79434.084416999962</v>
      </c>
      <c r="E77" s="38">
        <v>74679.231408000007</v>
      </c>
      <c r="F77" s="137">
        <v>70335.220085719993</v>
      </c>
      <c r="G77" s="38">
        <v>66896.953566000127</v>
      </c>
      <c r="H77" s="5"/>
      <c r="I77" s="85"/>
    </row>
    <row r="78" spans="1:9" s="1" customFormat="1" ht="11.4">
      <c r="A78" s="270"/>
      <c r="B78" s="100" t="s">
        <v>65</v>
      </c>
      <c r="C78" s="101">
        <v>0.50642220664665505</v>
      </c>
      <c r="D78" s="248">
        <v>0.49363376572121165</v>
      </c>
      <c r="E78" s="101">
        <v>0.49158982608861423</v>
      </c>
      <c r="F78" s="248">
        <v>0.4916634831943939</v>
      </c>
      <c r="G78" s="101">
        <v>0.47512874882687922</v>
      </c>
      <c r="H78" s="9"/>
      <c r="I78" s="85"/>
    </row>
    <row r="79" spans="1:9" ht="12.6" customHeight="1">
      <c r="A79" s="270"/>
      <c r="B79" s="265" t="s">
        <v>15</v>
      </c>
      <c r="C79" s="38">
        <v>28740.569936384913</v>
      </c>
      <c r="D79" s="137">
        <v>19000.386535999933</v>
      </c>
      <c r="E79" s="38">
        <v>16111.119570000017</v>
      </c>
      <c r="F79" s="137">
        <v>15700.455416719989</v>
      </c>
      <c r="G79" s="38">
        <v>13506.572788000107</v>
      </c>
      <c r="H79" s="5"/>
      <c r="I79" s="85"/>
    </row>
    <row r="80" spans="1:9" s="1" customFormat="1">
      <c r="A80" s="270"/>
      <c r="B80" s="78" t="s">
        <v>60</v>
      </c>
      <c r="C80" s="91">
        <v>26177.632022826496</v>
      </c>
      <c r="D80" s="135">
        <v>29734.289251340917</v>
      </c>
      <c r="E80" s="91">
        <v>46293.04649073731</v>
      </c>
      <c r="F80" s="135">
        <v>43744.246684934405</v>
      </c>
      <c r="G80" s="91">
        <v>37392.685751981611</v>
      </c>
      <c r="H80" s="9"/>
      <c r="I80" s="85"/>
    </row>
    <row r="81" spans="1:9" s="1" customFormat="1">
      <c r="A81" s="270"/>
      <c r="B81" s="78" t="s">
        <v>61</v>
      </c>
      <c r="C81" s="89">
        <v>63037.700320558433</v>
      </c>
      <c r="D81" s="249">
        <v>49699.795165659045</v>
      </c>
      <c r="E81" s="89">
        <v>28386.184917262697</v>
      </c>
      <c r="F81" s="249">
        <v>26590.973400785588</v>
      </c>
      <c r="G81" s="89">
        <v>29504.267814018516</v>
      </c>
      <c r="H81" s="9"/>
      <c r="I81" s="85"/>
    </row>
    <row r="82" spans="1:9" s="1" customFormat="1">
      <c r="A82" s="270"/>
      <c r="B82" s="90" t="s">
        <v>69</v>
      </c>
      <c r="C82" s="92">
        <v>2774592.3473370001</v>
      </c>
      <c r="D82" s="250">
        <v>2774569.3480190001</v>
      </c>
      <c r="E82" s="92">
        <v>2760475.1527860006</v>
      </c>
      <c r="F82" s="250">
        <v>2707875.3292389996</v>
      </c>
      <c r="G82" s="92">
        <v>2569539.7203629999</v>
      </c>
      <c r="H82" s="9"/>
      <c r="I82" s="85"/>
    </row>
    <row r="83" spans="1:9" s="40" customFormat="1" ht="15" customHeight="1">
      <c r="A83" s="375"/>
      <c r="B83" s="552"/>
      <c r="C83" s="552"/>
      <c r="D83" s="552"/>
      <c r="E83" s="552"/>
      <c r="F83" s="552"/>
      <c r="G83" s="552"/>
    </row>
    <row r="84" spans="1:9">
      <c r="A84" s="20"/>
      <c r="B84" s="31"/>
      <c r="C84" s="31"/>
      <c r="D84" s="31"/>
      <c r="E84" s="31"/>
      <c r="F84" s="31"/>
    </row>
    <row r="85" spans="1:9" ht="12.6" customHeight="1">
      <c r="A85" s="19" t="s">
        <v>124</v>
      </c>
      <c r="B85" s="1" t="s">
        <v>183</v>
      </c>
      <c r="C85" s="1"/>
      <c r="D85" s="1"/>
      <c r="E85" s="1"/>
      <c r="F85" s="1"/>
      <c r="G85" s="1"/>
    </row>
    <row r="86" spans="1:9" ht="12.6" customHeight="1">
      <c r="A86" s="20"/>
      <c r="G86" s="3" t="str">
        <f>'Trends file-1'!$G$6</f>
        <v>Amount in Rs Mn, except ratios</v>
      </c>
    </row>
    <row r="87" spans="1:9" ht="12.75" customHeight="1">
      <c r="A87" s="20"/>
      <c r="B87" s="539" t="s">
        <v>0</v>
      </c>
      <c r="C87" s="541" t="s">
        <v>1</v>
      </c>
      <c r="D87" s="542"/>
      <c r="E87" s="542"/>
      <c r="F87" s="542"/>
      <c r="G87" s="542"/>
      <c r="H87" s="327"/>
      <c r="I87" s="327"/>
    </row>
    <row r="88" spans="1:9" ht="24.9" customHeight="1">
      <c r="A88" s="20"/>
      <c r="B88" s="540"/>
      <c r="C88" s="201">
        <f>$C$6</f>
        <v>44651</v>
      </c>
      <c r="D88" s="201">
        <f>$D$6</f>
        <v>44561</v>
      </c>
      <c r="E88" s="201">
        <f>$E$6</f>
        <v>44469</v>
      </c>
      <c r="F88" s="201">
        <f>$F$6</f>
        <v>44377</v>
      </c>
      <c r="G88" s="201">
        <f>$G$6</f>
        <v>44286</v>
      </c>
      <c r="H88" s="8"/>
      <c r="I88" s="8"/>
    </row>
    <row r="89" spans="1:9" ht="12.6" customHeight="1">
      <c r="A89" s="270"/>
      <c r="B89" s="2" t="s">
        <v>4</v>
      </c>
      <c r="C89" s="39">
        <v>8762.0578490000007</v>
      </c>
      <c r="D89" s="138">
        <v>7968.7393219999976</v>
      </c>
      <c r="E89" s="39">
        <v>7126.5197819999994</v>
      </c>
      <c r="F89" s="138">
        <v>6532.6126100000001</v>
      </c>
      <c r="G89" s="39">
        <v>6009.0889880000013</v>
      </c>
      <c r="H89" s="5"/>
      <c r="I89" s="85"/>
    </row>
    <row r="90" spans="1:9" ht="12.6" customHeight="1">
      <c r="A90" s="270"/>
      <c r="B90" s="2" t="s">
        <v>64</v>
      </c>
      <c r="C90" s="38">
        <v>4773.5691250000027</v>
      </c>
      <c r="D90" s="137">
        <v>4357.5205129999968</v>
      </c>
      <c r="E90" s="38">
        <v>3778.7742419999995</v>
      </c>
      <c r="F90" s="137">
        <v>3229.5170680000001</v>
      </c>
      <c r="G90" s="38">
        <v>3344.5646820000015</v>
      </c>
      <c r="H90" s="5"/>
      <c r="I90" s="85"/>
    </row>
    <row r="91" spans="1:9" ht="12.6" customHeight="1">
      <c r="A91" s="270"/>
      <c r="B91" s="100" t="s">
        <v>65</v>
      </c>
      <c r="C91" s="101">
        <v>0.5448000010117261</v>
      </c>
      <c r="D91" s="248">
        <v>0.54682683633153961</v>
      </c>
      <c r="E91" s="101">
        <v>0.5302411776845608</v>
      </c>
      <c r="F91" s="248">
        <v>0.4943683730849609</v>
      </c>
      <c r="G91" s="101">
        <v>0.55658431563902822</v>
      </c>
      <c r="H91" s="5"/>
      <c r="I91" s="85"/>
    </row>
    <row r="92" spans="1:9" s="1" customFormat="1">
      <c r="A92" s="270"/>
      <c r="B92" s="265" t="s">
        <v>15</v>
      </c>
      <c r="C92" s="38">
        <v>1928.3942430000025</v>
      </c>
      <c r="D92" s="137">
        <v>1640.157331999997</v>
      </c>
      <c r="E92" s="38">
        <v>1251.8705859999995</v>
      </c>
      <c r="F92" s="137">
        <v>945.81017399999973</v>
      </c>
      <c r="G92" s="38">
        <v>1239.6296830000024</v>
      </c>
      <c r="H92" s="9"/>
      <c r="I92" s="85"/>
    </row>
    <row r="93" spans="1:9" s="1" customFormat="1">
      <c r="A93" s="270"/>
      <c r="B93" s="78" t="s">
        <v>60</v>
      </c>
      <c r="C93" s="91">
        <v>4967.788945318116</v>
      </c>
      <c r="D93" s="135">
        <v>4062.0316719577932</v>
      </c>
      <c r="E93" s="91">
        <v>3499.6502945532302</v>
      </c>
      <c r="F93" s="135">
        <v>3891.973907168895</v>
      </c>
      <c r="G93" s="91">
        <v>3324.6921867817837</v>
      </c>
      <c r="H93" s="9"/>
      <c r="I93" s="85"/>
    </row>
    <row r="94" spans="1:9" s="1" customFormat="1">
      <c r="A94" s="270"/>
      <c r="B94" s="78" t="s">
        <v>61</v>
      </c>
      <c r="C94" s="91">
        <v>-194.21982031811331</v>
      </c>
      <c r="D94" s="135">
        <v>295.4888410422036</v>
      </c>
      <c r="E94" s="91">
        <v>279.12394744676931</v>
      </c>
      <c r="F94" s="135">
        <v>-662.45683916889493</v>
      </c>
      <c r="G94" s="91">
        <v>19.872495218217864</v>
      </c>
      <c r="H94" s="9"/>
      <c r="I94" s="85"/>
    </row>
    <row r="95" spans="1:9" s="1" customFormat="1">
      <c r="A95" s="270"/>
      <c r="B95" s="90" t="s">
        <v>69</v>
      </c>
      <c r="C95" s="92">
        <v>113805.08012699999</v>
      </c>
      <c r="D95" s="250">
        <v>111677.787608</v>
      </c>
      <c r="E95" s="92">
        <v>108473.94026599999</v>
      </c>
      <c r="F95" s="250">
        <v>104513.88967800001</v>
      </c>
      <c r="G95" s="92">
        <v>100062.83975</v>
      </c>
      <c r="H95" s="9"/>
      <c r="I95" s="85"/>
    </row>
    <row r="96" spans="1:9" ht="27" customHeight="1">
      <c r="A96" s="20"/>
      <c r="B96" s="543"/>
      <c r="C96" s="543"/>
      <c r="D96" s="543"/>
      <c r="E96" s="543"/>
      <c r="F96" s="543"/>
      <c r="G96" s="543"/>
    </row>
    <row r="97" spans="1:7">
      <c r="A97" s="19" t="s">
        <v>125</v>
      </c>
      <c r="B97" s="1" t="s">
        <v>80</v>
      </c>
      <c r="C97" s="1"/>
      <c r="D97" s="1"/>
      <c r="E97" s="1"/>
      <c r="F97" s="1"/>
      <c r="G97" s="1"/>
    </row>
    <row r="98" spans="1:7">
      <c r="A98" s="20"/>
      <c r="G98" s="3" t="str">
        <f>'Trends file-1'!$G$6</f>
        <v>Amount in Rs Mn, except ratios</v>
      </c>
    </row>
    <row r="99" spans="1:7" ht="12.75" customHeight="1">
      <c r="A99" s="20"/>
      <c r="B99" s="539" t="s">
        <v>0</v>
      </c>
      <c r="C99" s="541" t="s">
        <v>1</v>
      </c>
      <c r="D99" s="542"/>
      <c r="E99" s="542"/>
      <c r="F99" s="542"/>
      <c r="G99" s="542"/>
    </row>
    <row r="100" spans="1:7" ht="24.75" customHeight="1">
      <c r="A100" s="20"/>
      <c r="B100" s="540"/>
      <c r="C100" s="201">
        <f>$C$6</f>
        <v>44651</v>
      </c>
      <c r="D100" s="201">
        <f>$D$6</f>
        <v>44561</v>
      </c>
      <c r="E100" s="201">
        <f>$E$6</f>
        <v>44469</v>
      </c>
      <c r="F100" s="201">
        <f>$F$6</f>
        <v>44377</v>
      </c>
      <c r="G100" s="201">
        <f>$G$6</f>
        <v>44286</v>
      </c>
    </row>
    <row r="101" spans="1:7">
      <c r="A101" s="270"/>
      <c r="B101" s="2" t="s">
        <v>4</v>
      </c>
      <c r="C101" s="39">
        <v>7551.7784139999994</v>
      </c>
      <c r="D101" s="138">
        <v>7912.4453920000005</v>
      </c>
      <c r="E101" s="39">
        <v>7979.0098520000001</v>
      </c>
      <c r="F101" s="138">
        <v>8094.5149229999997</v>
      </c>
      <c r="G101" s="39">
        <v>7673.1986040000002</v>
      </c>
    </row>
    <row r="102" spans="1:7">
      <c r="A102" s="270"/>
      <c r="B102" s="2" t="s">
        <v>64</v>
      </c>
      <c r="C102" s="38">
        <v>4952.0216600000058</v>
      </c>
      <c r="D102" s="137">
        <v>5318.8595919999971</v>
      </c>
      <c r="E102" s="38">
        <v>5314.3856830000022</v>
      </c>
      <c r="F102" s="137">
        <v>5420.7716569999993</v>
      </c>
      <c r="G102" s="38">
        <v>5105.0719160000044</v>
      </c>
    </row>
    <row r="103" spans="1:7" ht="11.4">
      <c r="A103" s="270"/>
      <c r="B103" s="100" t="s">
        <v>65</v>
      </c>
      <c r="C103" s="101">
        <v>0.65574244747695609</v>
      </c>
      <c r="D103" s="248">
        <v>0.67221438234224173</v>
      </c>
      <c r="E103" s="101">
        <v>0.66604576026032991</v>
      </c>
      <c r="F103" s="248">
        <v>0.6696845590582895</v>
      </c>
      <c r="G103" s="101">
        <v>0.6653121050898847</v>
      </c>
    </row>
    <row r="104" spans="1:7">
      <c r="A104" s="270"/>
      <c r="B104" s="265" t="s">
        <v>15</v>
      </c>
      <c r="C104" s="38">
        <v>1370.9401470000048</v>
      </c>
      <c r="D104" s="137">
        <v>2100.301884999998</v>
      </c>
      <c r="E104" s="38">
        <v>2204.4242240000021</v>
      </c>
      <c r="F104" s="137">
        <v>2698.8098139999993</v>
      </c>
      <c r="G104" s="38">
        <v>2483.7359750000051</v>
      </c>
    </row>
    <row r="105" spans="1:7">
      <c r="A105" s="270"/>
      <c r="B105" s="78" t="s">
        <v>60</v>
      </c>
      <c r="C105" s="91">
        <v>3143.2969737380045</v>
      </c>
      <c r="D105" s="135">
        <v>4373.7661707919979</v>
      </c>
      <c r="E105" s="91">
        <v>2578.5870649100007</v>
      </c>
      <c r="F105" s="135">
        <v>2931.5903770649993</v>
      </c>
      <c r="G105" s="91">
        <v>3690.3759494400001</v>
      </c>
    </row>
    <row r="106" spans="1:7">
      <c r="A106" s="270"/>
      <c r="B106" s="78" t="s">
        <v>61</v>
      </c>
      <c r="C106" s="38">
        <v>1808.7246862620013</v>
      </c>
      <c r="D106" s="137">
        <v>945.0934212079992</v>
      </c>
      <c r="E106" s="38">
        <v>2735.7986180900016</v>
      </c>
      <c r="F106" s="137">
        <v>2489.181279935</v>
      </c>
      <c r="G106" s="38">
        <v>1414.6959665600043</v>
      </c>
    </row>
    <row r="107" spans="1:7">
      <c r="A107" s="270"/>
      <c r="B107" s="90" t="s">
        <v>69</v>
      </c>
      <c r="C107" s="92">
        <v>121493.20396099999</v>
      </c>
      <c r="D107" s="250">
        <v>120844.37129699999</v>
      </c>
      <c r="E107" s="92">
        <v>116710.36824500001</v>
      </c>
      <c r="F107" s="250">
        <v>113798.37347799999</v>
      </c>
      <c r="G107" s="92">
        <v>111003.69695499999</v>
      </c>
    </row>
    <row r="108" spans="1:7" ht="21.75" customHeight="1">
      <c r="A108" s="20"/>
      <c r="B108" s="551"/>
      <c r="C108" s="551"/>
      <c r="D108" s="551"/>
      <c r="E108" s="551"/>
      <c r="F108" s="551"/>
      <c r="G108" s="551"/>
    </row>
    <row r="109" spans="1:7">
      <c r="A109" s="20"/>
      <c r="B109" s="502"/>
      <c r="C109" s="502"/>
      <c r="D109" s="502"/>
      <c r="E109" s="502"/>
      <c r="F109" s="502"/>
      <c r="G109" s="502"/>
    </row>
    <row r="110" spans="1:7">
      <c r="A110" s="20"/>
      <c r="B110" s="99" t="s">
        <v>72</v>
      </c>
      <c r="C110" s="99"/>
      <c r="D110" s="99"/>
      <c r="E110" s="99"/>
    </row>
    <row r="111" spans="1:7">
      <c r="A111" s="20"/>
    </row>
    <row r="112" spans="1:7" ht="12.6" customHeight="1">
      <c r="A112" s="19" t="s">
        <v>126</v>
      </c>
      <c r="B112" s="1" t="s">
        <v>154</v>
      </c>
      <c r="C112" s="1"/>
      <c r="D112" s="1"/>
      <c r="E112" s="1"/>
      <c r="F112" s="1"/>
      <c r="G112" s="1"/>
    </row>
    <row r="113" spans="1:9" ht="12.6" customHeight="1">
      <c r="A113" s="20"/>
      <c r="G113" s="3" t="str">
        <f>'Trends file-1'!$G$6</f>
        <v>Amount in Rs Mn, except ratios</v>
      </c>
    </row>
    <row r="114" spans="1:9" ht="12.75" customHeight="1">
      <c r="A114" s="20"/>
      <c r="B114" s="539" t="s">
        <v>0</v>
      </c>
      <c r="C114" s="541" t="s">
        <v>1</v>
      </c>
      <c r="D114" s="542"/>
      <c r="E114" s="542"/>
      <c r="F114" s="542"/>
      <c r="G114" s="542"/>
      <c r="H114" s="327"/>
      <c r="I114" s="327"/>
    </row>
    <row r="115" spans="1:9" ht="24.9" customHeight="1">
      <c r="A115" s="20"/>
      <c r="B115" s="540"/>
      <c r="C115" s="201">
        <f>$C$6</f>
        <v>44651</v>
      </c>
      <c r="D115" s="201">
        <f>$D$6</f>
        <v>44561</v>
      </c>
      <c r="E115" s="201">
        <f>$E$6</f>
        <v>44469</v>
      </c>
      <c r="F115" s="201">
        <f>$F$6</f>
        <v>44377</v>
      </c>
      <c r="G115" s="201">
        <f>$G$6</f>
        <v>44286</v>
      </c>
      <c r="H115" s="8"/>
      <c r="I115" s="8"/>
    </row>
    <row r="116" spans="1:9" ht="12.6" customHeight="1">
      <c r="A116" s="270"/>
      <c r="B116" s="2" t="s">
        <v>4</v>
      </c>
      <c r="C116" s="39">
        <v>41798.319524299972</v>
      </c>
      <c r="D116" s="138">
        <v>41058.526125466997</v>
      </c>
      <c r="E116" s="39">
        <v>39953.064996565008</v>
      </c>
      <c r="F116" s="138">
        <v>37893.218485680001</v>
      </c>
      <c r="G116" s="39">
        <v>37019.960182455041</v>
      </c>
      <c r="H116" s="5"/>
      <c r="I116" s="85"/>
    </row>
    <row r="117" spans="1:9" ht="12.6" customHeight="1">
      <c r="A117" s="270"/>
      <c r="B117" s="2" t="s">
        <v>64</v>
      </c>
      <c r="C117" s="38">
        <v>16450.991253124972</v>
      </c>
      <c r="D117" s="137">
        <v>15823.695888787001</v>
      </c>
      <c r="E117" s="38">
        <v>15922.425548847017</v>
      </c>
      <c r="F117" s="137">
        <v>14684.871011025001</v>
      </c>
      <c r="G117" s="38">
        <v>14867.042365331066</v>
      </c>
      <c r="H117" s="5"/>
      <c r="I117" s="85"/>
    </row>
    <row r="118" spans="1:9" ht="12.6" customHeight="1">
      <c r="A118" s="270"/>
      <c r="B118" s="100" t="s">
        <v>65</v>
      </c>
      <c r="C118" s="101">
        <v>0.39358020705978347</v>
      </c>
      <c r="D118" s="248">
        <v>0.38539366562825011</v>
      </c>
      <c r="E118" s="101">
        <v>0.39852826185465268</v>
      </c>
      <c r="F118" s="248">
        <v>0.38753295702698026</v>
      </c>
      <c r="G118" s="101">
        <v>0.40159530945084698</v>
      </c>
      <c r="H118" s="5"/>
      <c r="I118" s="85"/>
    </row>
    <row r="119" spans="1:9" s="1" customFormat="1">
      <c r="A119" s="270"/>
      <c r="B119" s="265" t="s">
        <v>15</v>
      </c>
      <c r="C119" s="38">
        <v>11682.383075144975</v>
      </c>
      <c r="D119" s="137">
        <v>11288.446055348995</v>
      </c>
      <c r="E119" s="38">
        <v>11500.060350664018</v>
      </c>
      <c r="F119" s="137">
        <v>10471.736718625001</v>
      </c>
      <c r="G119" s="38">
        <v>11027.93854908206</v>
      </c>
      <c r="H119" s="9"/>
      <c r="I119" s="85"/>
    </row>
    <row r="120" spans="1:9" s="1" customFormat="1">
      <c r="A120" s="270"/>
      <c r="B120" s="78" t="s">
        <v>60</v>
      </c>
      <c r="C120" s="91">
        <v>8478.3709194961175</v>
      </c>
      <c r="D120" s="135">
        <v>8367.6731538505937</v>
      </c>
      <c r="E120" s="91">
        <v>5621.9133300210997</v>
      </c>
      <c r="F120" s="135">
        <v>6567.1948093342417</v>
      </c>
      <c r="G120" s="91">
        <v>7006.1731065480972</v>
      </c>
      <c r="H120" s="9"/>
      <c r="I120" s="85"/>
    </row>
    <row r="121" spans="1:9" s="1" customFormat="1">
      <c r="A121" s="270"/>
      <c r="B121" s="78" t="s">
        <v>61</v>
      </c>
      <c r="C121" s="89">
        <v>7972.6203336288545</v>
      </c>
      <c r="D121" s="249">
        <v>7456.0227349364068</v>
      </c>
      <c r="E121" s="89">
        <v>10300.512218825917</v>
      </c>
      <c r="F121" s="249">
        <v>8117.6762016907596</v>
      </c>
      <c r="G121" s="89">
        <v>7860.8692587829692</v>
      </c>
      <c r="H121" s="9"/>
      <c r="I121" s="85"/>
    </row>
    <row r="122" spans="1:9" s="1" customFormat="1">
      <c r="A122" s="270"/>
      <c r="B122" s="90" t="s">
        <v>69</v>
      </c>
      <c r="C122" s="92">
        <v>234615.01397217499</v>
      </c>
      <c r="D122" s="250">
        <v>228084.97084592</v>
      </c>
      <c r="E122" s="92">
        <v>221049.21915967503</v>
      </c>
      <c r="F122" s="250">
        <v>217150.49897449999</v>
      </c>
      <c r="G122" s="92">
        <v>197129.52708718501</v>
      </c>
      <c r="H122" s="9"/>
      <c r="I122" s="85"/>
    </row>
    <row r="123" spans="1:9" ht="22.5" hidden="1" customHeight="1">
      <c r="A123" s="20"/>
      <c r="B123" s="543"/>
      <c r="C123" s="543"/>
      <c r="D123" s="543"/>
      <c r="E123" s="543"/>
      <c r="F123" s="543"/>
      <c r="G123" s="543"/>
    </row>
    <row r="124" spans="1:9" hidden="1">
      <c r="A124" s="19" t="s">
        <v>127</v>
      </c>
      <c r="B124" s="22" t="s">
        <v>140</v>
      </c>
      <c r="C124" s="22"/>
      <c r="D124" s="22"/>
      <c r="E124" s="22"/>
      <c r="F124" s="22"/>
      <c r="G124" s="22"/>
    </row>
    <row r="125" spans="1:9" hidden="1">
      <c r="A125" s="20"/>
      <c r="G125" s="3" t="str">
        <f>'Trends file-1'!$G$6</f>
        <v>Amount in Rs Mn, except ratios</v>
      </c>
    </row>
    <row r="126" spans="1:9" ht="12.75" hidden="1" customHeight="1">
      <c r="A126" s="20"/>
      <c r="B126" s="539" t="s">
        <v>0</v>
      </c>
      <c r="C126" s="541" t="s">
        <v>1</v>
      </c>
      <c r="D126" s="542"/>
      <c r="E126" s="542"/>
      <c r="F126" s="542"/>
      <c r="G126" s="542"/>
      <c r="H126" s="327"/>
      <c r="I126" s="327"/>
    </row>
    <row r="127" spans="1:9" ht="24.9" hidden="1" customHeight="1">
      <c r="A127" s="20"/>
      <c r="B127" s="540"/>
      <c r="C127" s="201">
        <f>$C$6</f>
        <v>44651</v>
      </c>
      <c r="D127" s="201">
        <f>$D$6</f>
        <v>44561</v>
      </c>
      <c r="E127" s="201">
        <f>$E$6</f>
        <v>44469</v>
      </c>
      <c r="F127" s="201">
        <f>$F$6</f>
        <v>44377</v>
      </c>
      <c r="G127" s="201">
        <f>$G$6</f>
        <v>44286</v>
      </c>
      <c r="H127" s="8"/>
      <c r="I127" s="8"/>
    </row>
    <row r="128" spans="1:9" hidden="1">
      <c r="A128" s="270"/>
      <c r="B128" s="2" t="s">
        <v>4</v>
      </c>
      <c r="C128" s="39"/>
      <c r="D128" s="138"/>
      <c r="E128" s="39"/>
      <c r="F128" s="138"/>
      <c r="G128" s="39"/>
      <c r="I128" s="85"/>
    </row>
    <row r="129" spans="1:9" hidden="1">
      <c r="A129" s="270"/>
      <c r="B129" s="2" t="s">
        <v>64</v>
      </c>
      <c r="C129" s="38"/>
      <c r="D129" s="137"/>
      <c r="E129" s="38"/>
      <c r="F129" s="137"/>
      <c r="G129" s="38"/>
      <c r="I129" s="85"/>
    </row>
    <row r="130" spans="1:9" ht="11.4" hidden="1">
      <c r="A130" s="270"/>
      <c r="B130" s="100" t="s">
        <v>65</v>
      </c>
      <c r="C130" s="101"/>
      <c r="D130" s="248"/>
      <c r="E130" s="101"/>
      <c r="F130" s="248"/>
      <c r="G130" s="101"/>
      <c r="I130" s="85"/>
    </row>
    <row r="131" spans="1:9" hidden="1">
      <c r="A131" s="270"/>
      <c r="B131" s="265" t="s">
        <v>15</v>
      </c>
      <c r="C131" s="38"/>
      <c r="D131" s="137"/>
      <c r="E131" s="38"/>
      <c r="F131" s="137"/>
      <c r="G131" s="38"/>
      <c r="I131" s="85"/>
    </row>
    <row r="132" spans="1:9" hidden="1">
      <c r="A132" s="270"/>
      <c r="B132" s="78" t="s">
        <v>117</v>
      </c>
      <c r="C132" s="91"/>
      <c r="D132" s="135"/>
      <c r="E132" s="91"/>
      <c r="F132" s="135"/>
      <c r="G132" s="91"/>
      <c r="I132" s="85"/>
    </row>
    <row r="133" spans="1:9" hidden="1">
      <c r="A133" s="270"/>
      <c r="B133" s="78" t="s">
        <v>60</v>
      </c>
      <c r="C133" s="91"/>
      <c r="D133" s="135"/>
      <c r="E133" s="91"/>
      <c r="F133" s="135"/>
      <c r="G133" s="91"/>
      <c r="I133" s="85"/>
    </row>
    <row r="134" spans="1:9" hidden="1">
      <c r="A134" s="270"/>
      <c r="B134" s="78" t="s">
        <v>61</v>
      </c>
      <c r="C134" s="91"/>
      <c r="D134" s="135"/>
      <c r="E134" s="91"/>
      <c r="F134" s="135"/>
      <c r="G134" s="91"/>
      <c r="I134" s="85"/>
    </row>
    <row r="135" spans="1:9" hidden="1">
      <c r="A135" s="270"/>
      <c r="B135" s="90" t="s">
        <v>69</v>
      </c>
      <c r="C135" s="92"/>
      <c r="D135" s="250"/>
      <c r="E135" s="92"/>
      <c r="F135" s="250"/>
      <c r="G135" s="92"/>
      <c r="I135" s="85"/>
    </row>
    <row r="136" spans="1:9" ht="27" hidden="1" customHeight="1">
      <c r="B136" s="543"/>
      <c r="C136" s="543"/>
      <c r="D136" s="543"/>
      <c r="E136" s="543"/>
      <c r="F136" s="543"/>
      <c r="G136" s="543"/>
    </row>
    <row r="137" spans="1:9" hidden="1"/>
    <row r="138" spans="1:9" hidden="1">
      <c r="B138" s="99"/>
      <c r="C138" s="99"/>
      <c r="D138" s="99"/>
      <c r="E138" s="99"/>
    </row>
    <row r="139" spans="1:9" hidden="1"/>
    <row r="140" spans="1:9" hidden="1">
      <c r="A140" s="19"/>
      <c r="B140" s="1"/>
      <c r="C140" s="448"/>
      <c r="D140" s="448"/>
      <c r="E140" s="448"/>
      <c r="F140" s="448"/>
      <c r="G140" s="448"/>
    </row>
    <row r="141" spans="1:9" hidden="1">
      <c r="A141" s="20"/>
      <c r="G141" s="3"/>
    </row>
    <row r="142" spans="1:9" ht="12.75" hidden="1" customHeight="1">
      <c r="A142" s="20"/>
      <c r="B142" s="539"/>
      <c r="C142" s="541"/>
      <c r="D142" s="542"/>
      <c r="E142" s="542"/>
      <c r="F142" s="542"/>
      <c r="G142" s="542"/>
    </row>
    <row r="143" spans="1:9" ht="24" hidden="1" customHeight="1">
      <c r="A143" s="20"/>
      <c r="B143" s="540"/>
      <c r="C143" s="201"/>
      <c r="D143" s="201"/>
      <c r="E143" s="201"/>
      <c r="F143" s="201"/>
      <c r="G143" s="201"/>
    </row>
    <row r="144" spans="1:9" hidden="1">
      <c r="A144" s="270"/>
      <c r="C144" s="93"/>
      <c r="D144" s="202"/>
      <c r="E144" s="93"/>
      <c r="F144" s="202"/>
      <c r="G144" s="93"/>
      <c r="I144" s="85"/>
    </row>
    <row r="145" spans="1:9" hidden="1">
      <c r="A145" s="270"/>
      <c r="B145" s="32"/>
      <c r="C145" s="94"/>
      <c r="D145" s="203"/>
      <c r="E145" s="94"/>
      <c r="F145" s="203"/>
      <c r="G145" s="94"/>
      <c r="I145" s="85"/>
    </row>
    <row r="146" spans="1:9" hidden="1">
      <c r="A146" s="270"/>
      <c r="B146" s="265"/>
      <c r="C146" s="94"/>
      <c r="D146" s="203"/>
      <c r="E146" s="94"/>
      <c r="F146" s="203"/>
      <c r="G146" s="94"/>
      <c r="I146" s="85"/>
    </row>
    <row r="147" spans="1:9" hidden="1">
      <c r="A147" s="270"/>
      <c r="B147" s="78"/>
      <c r="C147" s="91"/>
      <c r="D147" s="135"/>
      <c r="E147" s="91"/>
      <c r="F147" s="135"/>
      <c r="G147" s="91"/>
      <c r="I147" s="85"/>
    </row>
    <row r="148" spans="1:9" hidden="1">
      <c r="A148" s="270"/>
      <c r="B148" s="78"/>
      <c r="C148" s="91"/>
      <c r="D148" s="135"/>
      <c r="E148" s="91"/>
      <c r="F148" s="135"/>
      <c r="G148" s="91"/>
      <c r="I148" s="85"/>
    </row>
    <row r="149" spans="1:9" hidden="1">
      <c r="A149" s="270"/>
      <c r="B149" s="79"/>
      <c r="C149" s="80"/>
      <c r="D149" s="247"/>
      <c r="E149" s="80"/>
      <c r="F149" s="247"/>
      <c r="G149" s="80"/>
      <c r="I149" s="85"/>
    </row>
    <row r="150" spans="1:9" s="40" customFormat="1" ht="10.5" hidden="1" customHeight="1">
      <c r="A150" s="375"/>
      <c r="B150" s="547"/>
      <c r="C150" s="547"/>
      <c r="D150" s="547"/>
      <c r="E150" s="547"/>
      <c r="F150" s="547"/>
      <c r="G150" s="547"/>
    </row>
    <row r="152" spans="1:9" ht="12.6" customHeight="1">
      <c r="A152" s="19" t="s">
        <v>128</v>
      </c>
      <c r="B152" s="372" t="s">
        <v>243</v>
      </c>
      <c r="C152" s="1"/>
      <c r="D152" s="1"/>
      <c r="E152" s="1"/>
      <c r="F152" s="1"/>
      <c r="G152" s="1"/>
    </row>
    <row r="153" spans="1:9" ht="12.6" customHeight="1">
      <c r="A153" s="19"/>
      <c r="B153" s="1"/>
      <c r="C153" s="1"/>
      <c r="D153" s="1"/>
      <c r="E153" s="1"/>
      <c r="F153" s="1"/>
      <c r="G153" s="3" t="str">
        <f>'Trends file-1'!$G$6</f>
        <v>Amount in Rs Mn, except ratios</v>
      </c>
    </row>
    <row r="154" spans="1:9" ht="12.6" customHeight="1">
      <c r="A154" s="19"/>
      <c r="B154" s="539" t="s">
        <v>0</v>
      </c>
      <c r="C154" s="541" t="s">
        <v>1</v>
      </c>
      <c r="D154" s="542"/>
      <c r="E154" s="542"/>
      <c r="F154" s="542"/>
      <c r="G154" s="542"/>
    </row>
    <row r="155" spans="1:9" ht="24" customHeight="1">
      <c r="A155" s="19"/>
      <c r="B155" s="540"/>
      <c r="C155" s="201">
        <f>$C$6</f>
        <v>44651</v>
      </c>
      <c r="D155" s="201">
        <f>$D$6</f>
        <v>44561</v>
      </c>
      <c r="E155" s="201">
        <f>$E$6</f>
        <v>44469</v>
      </c>
      <c r="F155" s="201">
        <f>$F$6</f>
        <v>44377</v>
      </c>
      <c r="G155" s="201">
        <f>$G$6</f>
        <v>44286</v>
      </c>
    </row>
    <row r="156" spans="1:9" ht="12.6" customHeight="1">
      <c r="A156" s="269"/>
      <c r="B156" s="40" t="s">
        <v>4</v>
      </c>
      <c r="C156" s="39">
        <v>983.7042368750009</v>
      </c>
      <c r="D156" s="138">
        <v>975.48070332999885</v>
      </c>
      <c r="E156" s="39">
        <v>957.85773911400031</v>
      </c>
      <c r="F156" s="138">
        <v>951.57582377999995</v>
      </c>
      <c r="G156" s="39">
        <v>982.30751476899945</v>
      </c>
    </row>
    <row r="157" spans="1:9" ht="12.6" customHeight="1">
      <c r="A157" s="269"/>
      <c r="B157" s="52" t="s">
        <v>120</v>
      </c>
      <c r="C157" s="38">
        <v>653.48095566699999</v>
      </c>
      <c r="D157" s="137">
        <v>647.75843782700008</v>
      </c>
      <c r="E157" s="38">
        <v>656.96488864599996</v>
      </c>
      <c r="F157" s="137">
        <v>660.72327564700004</v>
      </c>
      <c r="G157" s="38">
        <v>700.54165644900002</v>
      </c>
    </row>
    <row r="158" spans="1:9" ht="12.6" customHeight="1">
      <c r="A158" s="269"/>
      <c r="B158" s="40" t="s">
        <v>64</v>
      </c>
      <c r="C158" s="38">
        <v>-159.96442757199895</v>
      </c>
      <c r="D158" s="137">
        <v>-208.7894512840013</v>
      </c>
      <c r="E158" s="38">
        <v>-141.33020668699976</v>
      </c>
      <c r="F158" s="137">
        <v>-110.69604768600004</v>
      </c>
      <c r="G158" s="38">
        <v>-121.6531217290003</v>
      </c>
    </row>
    <row r="159" spans="1:9" ht="12.6" customHeight="1">
      <c r="A159" s="269"/>
      <c r="B159" s="100" t="s">
        <v>65</v>
      </c>
      <c r="C159" s="101">
        <v>-0.16261435254174431</v>
      </c>
      <c r="D159" s="248">
        <v>-0.21403750025116505</v>
      </c>
      <c r="E159" s="101">
        <v>-0.14754822236726661</v>
      </c>
      <c r="F159" s="248">
        <v>-0.11632919302875487</v>
      </c>
      <c r="G159" s="101">
        <v>-0.12384423401016981</v>
      </c>
    </row>
    <row r="160" spans="1:9" ht="12.6" customHeight="1">
      <c r="A160" s="269"/>
      <c r="B160" s="261" t="s">
        <v>15</v>
      </c>
      <c r="C160" s="38">
        <v>-627.36686266399886</v>
      </c>
      <c r="D160" s="137">
        <v>-686.61583334200145</v>
      </c>
      <c r="E160" s="38">
        <v>-590.19862613699979</v>
      </c>
      <c r="F160" s="137">
        <v>-517.79877908100002</v>
      </c>
      <c r="G160" s="38">
        <v>-478.8448839470002</v>
      </c>
    </row>
    <row r="161" spans="1:9" ht="12.6" customHeight="1">
      <c r="A161" s="269"/>
      <c r="B161" s="51" t="s">
        <v>118</v>
      </c>
      <c r="C161" s="142">
        <v>-5525.045905052003</v>
      </c>
      <c r="D161" s="380">
        <v>-920.1431640800015</v>
      </c>
      <c r="E161" s="142">
        <v>-529.97394170099972</v>
      </c>
      <c r="F161" s="380">
        <v>-537.04958502200009</v>
      </c>
      <c r="G161" s="142">
        <v>-993.6878505210002</v>
      </c>
    </row>
    <row r="162" spans="1:9" ht="12.6" hidden="1" customHeight="1">
      <c r="A162" s="269"/>
      <c r="B162" s="376" t="s">
        <v>31</v>
      </c>
      <c r="C162" s="142">
        <v>0</v>
      </c>
      <c r="D162" s="380">
        <v>0</v>
      </c>
      <c r="E162" s="142">
        <v>0</v>
      </c>
      <c r="F162" s="380">
        <v>0</v>
      </c>
      <c r="G162" s="142">
        <v>0</v>
      </c>
    </row>
    <row r="163" spans="1:9" ht="12.6" customHeight="1">
      <c r="A163" s="269"/>
      <c r="B163" s="378" t="s">
        <v>259</v>
      </c>
      <c r="C163" s="141">
        <v>-5525.045905052003</v>
      </c>
      <c r="D163" s="381">
        <v>-920.1431640800015</v>
      </c>
      <c r="E163" s="141">
        <v>-529.97394170099972</v>
      </c>
      <c r="F163" s="381">
        <v>-537.04958502200009</v>
      </c>
      <c r="G163" s="141">
        <v>-993.6878505210002</v>
      </c>
    </row>
    <row r="164" spans="1:9" ht="12.6" customHeight="1">
      <c r="A164" s="269"/>
      <c r="B164" s="377" t="s">
        <v>255</v>
      </c>
      <c r="C164" s="142">
        <v>0</v>
      </c>
      <c r="D164" s="380">
        <v>0</v>
      </c>
      <c r="E164" s="142">
        <v>0</v>
      </c>
      <c r="F164" s="380">
        <v>0</v>
      </c>
      <c r="G164" s="142">
        <v>0</v>
      </c>
    </row>
    <row r="165" spans="1:9" ht="12.6" customHeight="1">
      <c r="A165" s="269"/>
      <c r="B165" s="379" t="s">
        <v>256</v>
      </c>
      <c r="C165" s="490">
        <v>-5525.045905052003</v>
      </c>
      <c r="D165" s="493">
        <v>-920.1431640800015</v>
      </c>
      <c r="E165" s="490">
        <v>-529.97394170099972</v>
      </c>
      <c r="F165" s="493">
        <v>-537.04958502200009</v>
      </c>
      <c r="G165" s="490">
        <v>-993.6878505210002</v>
      </c>
    </row>
    <row r="166" spans="1:9" ht="12.6" customHeight="1">
      <c r="A166" s="269"/>
      <c r="B166" s="78" t="s">
        <v>60</v>
      </c>
      <c r="C166" s="91">
        <v>388.05820246499934</v>
      </c>
      <c r="D166" s="135">
        <v>511.99231765299965</v>
      </c>
      <c r="E166" s="91">
        <v>1414.1546385279994</v>
      </c>
      <c r="F166" s="135">
        <v>978.07902759300032</v>
      </c>
      <c r="G166" s="91">
        <v>1593.3323672490001</v>
      </c>
    </row>
    <row r="167" spans="1:9" ht="12.6" customHeight="1">
      <c r="A167" s="269"/>
      <c r="B167" s="78" t="s">
        <v>61</v>
      </c>
      <c r="C167" s="91">
        <v>-548.02263003699829</v>
      </c>
      <c r="D167" s="135">
        <v>-720.78176893700095</v>
      </c>
      <c r="E167" s="91">
        <v>-1555.484845214999</v>
      </c>
      <c r="F167" s="135">
        <v>-1088.7750752790002</v>
      </c>
      <c r="G167" s="91">
        <v>-1714.9854889780004</v>
      </c>
    </row>
    <row r="168" spans="1:9" ht="12.6" customHeight="1">
      <c r="A168" s="269"/>
      <c r="B168" s="90" t="s">
        <v>69</v>
      </c>
      <c r="C168" s="92">
        <v>40656.399689927995</v>
      </c>
      <c r="D168" s="250">
        <v>46412.594096629997</v>
      </c>
      <c r="E168" s="92">
        <v>46105.384061746008</v>
      </c>
      <c r="F168" s="250">
        <v>44788.355792411996</v>
      </c>
      <c r="G168" s="92">
        <v>43497.482967498996</v>
      </c>
    </row>
    <row r="169" spans="1:9" customFormat="1" ht="25.5" customHeight="1">
      <c r="B169" s="550"/>
      <c r="C169" s="550"/>
      <c r="D169" s="550"/>
      <c r="E169" s="550"/>
      <c r="F169" s="550"/>
      <c r="G169" s="550"/>
    </row>
    <row r="170" spans="1:9" customFormat="1" ht="13.2">
      <c r="B170" s="505"/>
      <c r="C170" s="505"/>
      <c r="D170" s="505"/>
      <c r="E170" s="505"/>
      <c r="F170" s="505"/>
      <c r="G170" s="505"/>
    </row>
    <row r="171" spans="1:9" s="32" customFormat="1">
      <c r="A171" s="272">
        <v>4.2</v>
      </c>
      <c r="B171" s="22" t="s">
        <v>262</v>
      </c>
      <c r="C171" s="22"/>
      <c r="D171" s="22"/>
      <c r="E171" s="22"/>
    </row>
    <row r="172" spans="1:9" s="32" customFormat="1">
      <c r="A172" s="114"/>
    </row>
    <row r="173" spans="1:9" s="81" customFormat="1" ht="12.75" customHeight="1">
      <c r="A173" s="359"/>
      <c r="B173" s="1" t="s">
        <v>276</v>
      </c>
      <c r="G173" s="3" t="s">
        <v>192</v>
      </c>
    </row>
    <row r="174" spans="1:9" s="40" customFormat="1" ht="12.75" customHeight="1">
      <c r="A174" s="360"/>
      <c r="B174" s="544" t="s">
        <v>0</v>
      </c>
      <c r="C174" s="545" t="s">
        <v>1</v>
      </c>
      <c r="D174" s="546"/>
      <c r="E174" s="546"/>
      <c r="F174" s="546"/>
      <c r="G174" s="546"/>
    </row>
    <row r="175" spans="1:9" s="40" customFormat="1" ht="24" customHeight="1">
      <c r="A175" s="361"/>
      <c r="B175" s="538"/>
      <c r="C175" s="201">
        <f>$C$6</f>
        <v>44651</v>
      </c>
      <c r="D175" s="201">
        <f>$D$6</f>
        <v>44561</v>
      </c>
      <c r="E175" s="201">
        <f>$E$6</f>
        <v>44469</v>
      </c>
      <c r="F175" s="201">
        <f>$F$6</f>
        <v>44377</v>
      </c>
      <c r="G175" s="201">
        <f>$G$6</f>
        <v>44286</v>
      </c>
    </row>
    <row r="176" spans="1:9" s="40" customFormat="1">
      <c r="A176" s="269"/>
      <c r="B176" s="40" t="s">
        <v>4</v>
      </c>
      <c r="C176" s="362">
        <v>91871.379550050056</v>
      </c>
      <c r="D176" s="363">
        <v>91052.804829040979</v>
      </c>
      <c r="E176" s="362">
        <v>85915.677568233965</v>
      </c>
      <c r="F176" s="363">
        <v>81773.153924568993</v>
      </c>
      <c r="G176" s="362">
        <v>76017.790857259984</v>
      </c>
      <c r="I176" s="136"/>
    </row>
    <row r="177" spans="1:9" s="40" customFormat="1">
      <c r="A177" s="269"/>
      <c r="B177" s="40" t="s">
        <v>120</v>
      </c>
      <c r="C177" s="364">
        <v>74990.290566034993</v>
      </c>
      <c r="D177" s="365">
        <v>74329.571896526002</v>
      </c>
      <c r="E177" s="364">
        <v>69933.167118079</v>
      </c>
      <c r="F177" s="365">
        <v>66394.547087939005</v>
      </c>
      <c r="G177" s="364">
        <v>61538.364936578997</v>
      </c>
      <c r="I177" s="136"/>
    </row>
    <row r="178" spans="1:9" s="40" customFormat="1">
      <c r="A178" s="269"/>
      <c r="B178" s="81" t="s">
        <v>64</v>
      </c>
      <c r="C178" s="364">
        <v>45865.058372405023</v>
      </c>
      <c r="D178" s="365">
        <v>45189.595548540012</v>
      </c>
      <c r="E178" s="364">
        <v>41743.257718275971</v>
      </c>
      <c r="F178" s="365">
        <v>39272.835667117004</v>
      </c>
      <c r="G178" s="364">
        <v>36250.037016255985</v>
      </c>
      <c r="I178" s="136"/>
    </row>
    <row r="179" spans="1:9" s="40" customFormat="1" ht="11.4">
      <c r="A179" s="269"/>
      <c r="B179" s="100" t="s">
        <v>65</v>
      </c>
      <c r="C179" s="102">
        <v>0.49923119253280041</v>
      </c>
      <c r="D179" s="251">
        <v>0.49630097209401886</v>
      </c>
      <c r="E179" s="102">
        <v>0.48586310321679771</v>
      </c>
      <c r="F179" s="251">
        <v>0.48026563465246708</v>
      </c>
      <c r="G179" s="102">
        <v>0.47686254240567649</v>
      </c>
      <c r="I179" s="136"/>
    </row>
    <row r="180" spans="1:9" s="40" customFormat="1">
      <c r="A180" s="269"/>
      <c r="B180" s="265" t="s">
        <v>15</v>
      </c>
      <c r="C180" s="364">
        <v>31663.551339893016</v>
      </c>
      <c r="D180" s="365">
        <v>30938.775270948012</v>
      </c>
      <c r="E180" s="364">
        <v>28057.272809669965</v>
      </c>
      <c r="F180" s="365">
        <v>25925.928155144004</v>
      </c>
      <c r="G180" s="364">
        <v>23327.078985778993</v>
      </c>
      <c r="I180" s="136"/>
    </row>
    <row r="181" spans="1:9" s="40" customFormat="1">
      <c r="A181" s="269"/>
      <c r="B181" s="261" t="s">
        <v>118</v>
      </c>
      <c r="C181" s="364">
        <v>23175.390735781017</v>
      </c>
      <c r="D181" s="365">
        <v>21724.109257386008</v>
      </c>
      <c r="E181" s="364">
        <v>22706.510644103968</v>
      </c>
      <c r="F181" s="365">
        <v>18682.546486510004</v>
      </c>
      <c r="G181" s="364">
        <v>15662.350967222992</v>
      </c>
      <c r="I181" s="136"/>
    </row>
    <row r="182" spans="1:9" s="40" customFormat="1" hidden="1">
      <c r="A182" s="269"/>
      <c r="B182" s="376" t="s">
        <v>31</v>
      </c>
      <c r="C182" s="364">
        <v>9110.3188355489983</v>
      </c>
      <c r="D182" s="365">
        <v>8773.8831070169999</v>
      </c>
      <c r="E182" s="364">
        <v>8546.0762533759989</v>
      </c>
      <c r="F182" s="365">
        <v>8589.3138389960004</v>
      </c>
      <c r="G182" s="364">
        <v>6046.7428293710018</v>
      </c>
      <c r="I182" s="136"/>
    </row>
    <row r="183" spans="1:9" s="40" customFormat="1">
      <c r="A183" s="269"/>
      <c r="B183" s="378" t="s">
        <v>259</v>
      </c>
      <c r="C183" s="382">
        <v>14065.071900232018</v>
      </c>
      <c r="D183" s="383">
        <v>12950.226150369008</v>
      </c>
      <c r="E183" s="382">
        <v>14160.434390727969</v>
      </c>
      <c r="F183" s="383">
        <v>10093.232647514003</v>
      </c>
      <c r="G183" s="382">
        <v>9615.6081378519903</v>
      </c>
      <c r="I183" s="136"/>
    </row>
    <row r="184" spans="1:9" s="40" customFormat="1">
      <c r="A184" s="269"/>
      <c r="B184" s="377" t="s">
        <v>255</v>
      </c>
      <c r="C184" s="364">
        <v>6895.907707815004</v>
      </c>
      <c r="D184" s="365">
        <v>6723.1538945459997</v>
      </c>
      <c r="E184" s="364">
        <v>7582.4819238069995</v>
      </c>
      <c r="F184" s="365">
        <v>5132.6361464250003</v>
      </c>
      <c r="G184" s="364">
        <v>4696.358123510001</v>
      </c>
      <c r="I184" s="136"/>
    </row>
    <row r="185" spans="1:9" s="40" customFormat="1">
      <c r="A185" s="269"/>
      <c r="B185" s="379" t="s">
        <v>256</v>
      </c>
      <c r="C185" s="382">
        <v>7169.1641924170144</v>
      </c>
      <c r="D185" s="383">
        <v>6227.0722558230082</v>
      </c>
      <c r="E185" s="382">
        <v>6577.9524669209695</v>
      </c>
      <c r="F185" s="383">
        <v>4960.5965010890031</v>
      </c>
      <c r="G185" s="382">
        <v>4919.2500143419893</v>
      </c>
      <c r="I185" s="136"/>
    </row>
    <row r="186" spans="1:9" s="40" customFormat="1">
      <c r="A186" s="269"/>
      <c r="B186" s="78" t="s">
        <v>60</v>
      </c>
      <c r="C186" s="91">
        <v>16815.837180886789</v>
      </c>
      <c r="D186" s="135">
        <v>13965.082083333333</v>
      </c>
      <c r="E186" s="91">
        <v>10315.12138447753</v>
      </c>
      <c r="F186" s="135">
        <v>7794.7100000000009</v>
      </c>
      <c r="G186" s="91">
        <v>15457.332500000004</v>
      </c>
      <c r="I186" s="136"/>
    </row>
    <row r="187" spans="1:9" s="40" customFormat="1">
      <c r="A187" s="269"/>
      <c r="B187" s="78" t="s">
        <v>61</v>
      </c>
      <c r="C187" s="91">
        <v>29049.221191518234</v>
      </c>
      <c r="D187" s="135">
        <v>31224.513465206677</v>
      </c>
      <c r="E187" s="91">
        <v>31428.136333798437</v>
      </c>
      <c r="F187" s="135">
        <v>31478.125667117005</v>
      </c>
      <c r="G187" s="91">
        <v>20792.704516255981</v>
      </c>
      <c r="I187" s="136"/>
    </row>
    <row r="188" spans="1:9" s="40" customFormat="1">
      <c r="A188" s="269"/>
      <c r="B188" s="134" t="s">
        <v>69</v>
      </c>
      <c r="C188" s="92">
        <v>692624.02579770295</v>
      </c>
      <c r="D188" s="250">
        <v>670024.65129670093</v>
      </c>
      <c r="E188" s="92">
        <v>669934.40687324293</v>
      </c>
      <c r="F188" s="250">
        <v>659232.22592186788</v>
      </c>
      <c r="G188" s="92">
        <v>654288.55813338305</v>
      </c>
      <c r="H188" s="136"/>
      <c r="I188" s="136"/>
    </row>
    <row r="189" spans="1:9" s="6" customFormat="1" ht="27" customHeight="1">
      <c r="A189" s="366"/>
      <c r="B189" s="543"/>
      <c r="C189" s="543"/>
      <c r="D189" s="543"/>
      <c r="E189" s="543"/>
      <c r="F189" s="543"/>
      <c r="G189" s="543"/>
    </row>
    <row r="190" spans="1:9" hidden="1"/>
    <row r="191" spans="1:9" s="32" customFormat="1" ht="12.75" hidden="1" customHeight="1">
      <c r="A191" s="114"/>
      <c r="B191" s="1"/>
      <c r="G191" s="3"/>
    </row>
    <row r="192" spans="1:9" ht="12.75" hidden="1" customHeight="1">
      <c r="A192" s="207"/>
      <c r="B192" s="539"/>
      <c r="C192" s="541"/>
      <c r="D192" s="542"/>
      <c r="E192" s="542"/>
      <c r="F192" s="542"/>
      <c r="G192" s="542"/>
    </row>
    <row r="193" spans="1:9" ht="24" hidden="1" customHeight="1">
      <c r="A193" s="208"/>
      <c r="B193" s="540"/>
      <c r="C193" s="201"/>
      <c r="D193" s="201"/>
      <c r="E193" s="201"/>
      <c r="F193" s="201"/>
      <c r="G193" s="201"/>
    </row>
    <row r="194" spans="1:9" hidden="1">
      <c r="A194" s="269"/>
      <c r="B194" s="40"/>
      <c r="C194" s="39"/>
      <c r="D194" s="138"/>
      <c r="E194" s="39"/>
      <c r="F194" s="138"/>
      <c r="G194" s="39"/>
      <c r="I194" s="85"/>
    </row>
    <row r="195" spans="1:9" hidden="1">
      <c r="A195" s="269"/>
      <c r="B195" s="40"/>
      <c r="C195" s="38"/>
      <c r="D195" s="137"/>
      <c r="E195" s="38"/>
      <c r="F195" s="137"/>
      <c r="G195" s="38"/>
      <c r="I195" s="85"/>
    </row>
    <row r="196" spans="1:9" hidden="1">
      <c r="A196" s="269"/>
      <c r="B196" s="81"/>
      <c r="C196" s="38"/>
      <c r="D196" s="137"/>
      <c r="E196" s="38"/>
      <c r="F196" s="137"/>
      <c r="G196" s="38"/>
      <c r="I196" s="85"/>
    </row>
    <row r="197" spans="1:9" ht="11.4" hidden="1">
      <c r="A197" s="269"/>
      <c r="B197" s="100"/>
      <c r="C197" s="102"/>
      <c r="D197" s="251"/>
      <c r="E197" s="102"/>
      <c r="F197" s="251"/>
      <c r="G197" s="102"/>
      <c r="I197" s="85"/>
    </row>
    <row r="198" spans="1:9" hidden="1">
      <c r="A198" s="269"/>
      <c r="B198" s="265"/>
      <c r="C198" s="38"/>
      <c r="D198" s="137"/>
      <c r="E198" s="38"/>
      <c r="F198" s="137"/>
      <c r="G198" s="38"/>
      <c r="I198" s="85"/>
    </row>
    <row r="199" spans="1:9" hidden="1">
      <c r="A199" s="269"/>
      <c r="B199" s="261"/>
      <c r="C199" s="38"/>
      <c r="D199" s="137"/>
      <c r="E199" s="38"/>
      <c r="F199" s="137"/>
      <c r="G199" s="38"/>
      <c r="I199" s="85"/>
    </row>
    <row r="200" spans="1:9" hidden="1">
      <c r="A200" s="269"/>
      <c r="B200" s="376"/>
      <c r="C200" s="38"/>
      <c r="D200" s="137"/>
      <c r="E200" s="38"/>
      <c r="F200" s="137"/>
      <c r="G200" s="38"/>
      <c r="I200" s="85"/>
    </row>
    <row r="201" spans="1:9" hidden="1">
      <c r="A201" s="269"/>
      <c r="B201" s="378"/>
      <c r="C201" s="382"/>
      <c r="D201" s="383"/>
      <c r="E201" s="382"/>
      <c r="F201" s="383"/>
      <c r="G201" s="382"/>
      <c r="I201" s="85"/>
    </row>
    <row r="202" spans="1:9" hidden="1">
      <c r="A202" s="269"/>
      <c r="B202" s="377"/>
      <c r="C202" s="38"/>
      <c r="D202" s="137"/>
      <c r="E202" s="38"/>
      <c r="F202" s="137"/>
      <c r="G202" s="38"/>
      <c r="I202" s="85"/>
    </row>
    <row r="203" spans="1:9" hidden="1">
      <c r="A203" s="269"/>
      <c r="B203" s="379"/>
      <c r="C203" s="382"/>
      <c r="D203" s="383"/>
      <c r="E203" s="382"/>
      <c r="F203" s="383"/>
      <c r="G203" s="382"/>
      <c r="I203" s="85"/>
    </row>
    <row r="204" spans="1:9" hidden="1">
      <c r="A204" s="269"/>
      <c r="B204" s="78"/>
      <c r="C204" s="91"/>
      <c r="D204" s="135"/>
      <c r="E204" s="91"/>
      <c r="F204" s="135"/>
      <c r="G204" s="91"/>
      <c r="I204" s="85"/>
    </row>
    <row r="205" spans="1:9" hidden="1">
      <c r="A205" s="269"/>
      <c r="B205" s="78"/>
      <c r="C205" s="91"/>
      <c r="D205" s="135"/>
      <c r="E205" s="91"/>
      <c r="F205" s="135"/>
      <c r="G205" s="91"/>
      <c r="I205" s="85"/>
    </row>
    <row r="206" spans="1:9" hidden="1">
      <c r="A206" s="269"/>
      <c r="B206" s="134"/>
      <c r="C206" s="92"/>
      <c r="D206" s="250"/>
      <c r="E206" s="92"/>
      <c r="F206" s="250"/>
      <c r="G206" s="92"/>
      <c r="H206" s="85"/>
      <c r="I206" s="85"/>
    </row>
    <row r="207" spans="1:9" ht="12" hidden="1">
      <c r="A207" s="269"/>
      <c r="B207" s="370"/>
      <c r="C207" s="81"/>
      <c r="D207" s="81"/>
      <c r="E207" s="81"/>
      <c r="F207" s="81"/>
      <c r="G207" s="81"/>
      <c r="H207" s="85"/>
      <c r="I207" s="85"/>
    </row>
    <row r="208" spans="1:9" ht="11.4">
      <c r="A208" s="269"/>
      <c r="B208" s="368"/>
      <c r="C208" s="81"/>
      <c r="D208" s="81"/>
      <c r="E208" s="81"/>
      <c r="F208" s="81"/>
      <c r="G208" s="81"/>
      <c r="H208" s="85"/>
      <c r="I208" s="85"/>
    </row>
    <row r="209" spans="1:9" s="32" customFormat="1" ht="12.75" customHeight="1">
      <c r="A209" s="114"/>
      <c r="B209" s="1" t="s">
        <v>227</v>
      </c>
      <c r="G209" s="217" t="s">
        <v>194</v>
      </c>
    </row>
    <row r="210" spans="1:9" ht="12.75" customHeight="1">
      <c r="A210" s="207"/>
      <c r="B210" s="539" t="s">
        <v>0</v>
      </c>
      <c r="C210" s="541" t="s">
        <v>1</v>
      </c>
      <c r="D210" s="542"/>
      <c r="E210" s="542"/>
      <c r="F210" s="542"/>
      <c r="G210" s="542"/>
    </row>
    <row r="211" spans="1:9" ht="24" customHeight="1">
      <c r="A211" s="208"/>
      <c r="B211" s="540"/>
      <c r="C211" s="201">
        <f>$C$6</f>
        <v>44651</v>
      </c>
      <c r="D211" s="201">
        <f>$D$6</f>
        <v>44561</v>
      </c>
      <c r="E211" s="201">
        <f>$E$6</f>
        <v>44469</v>
      </c>
      <c r="F211" s="201">
        <f>$F$6</f>
        <v>44377</v>
      </c>
      <c r="G211" s="201">
        <f>$G$6</f>
        <v>44286</v>
      </c>
    </row>
    <row r="212" spans="1:9">
      <c r="A212" s="269"/>
      <c r="B212" s="40" t="s">
        <v>4</v>
      </c>
      <c r="C212" s="39">
        <v>1222.1304391640242</v>
      </c>
      <c r="D212" s="138">
        <v>1219.2642869538033</v>
      </c>
      <c r="E212" s="39">
        <v>1160.170807064052</v>
      </c>
      <c r="F212" s="138">
        <v>1112.1129026745839</v>
      </c>
      <c r="G212" s="39">
        <v>1037.6268470618388</v>
      </c>
      <c r="I212" s="85"/>
    </row>
    <row r="213" spans="1:9">
      <c r="A213" s="269"/>
      <c r="B213" s="40" t="s">
        <v>120</v>
      </c>
      <c r="C213" s="38">
        <v>997.58895912043397</v>
      </c>
      <c r="D213" s="137">
        <v>995.30167344424751</v>
      </c>
      <c r="E213" s="38">
        <v>944.362038287421</v>
      </c>
      <c r="F213" s="137">
        <v>902.93799647260835</v>
      </c>
      <c r="G213" s="38">
        <v>840.03461336844055</v>
      </c>
      <c r="I213" s="85"/>
    </row>
    <row r="214" spans="1:9">
      <c r="A214" s="269"/>
      <c r="B214" s="81" t="s">
        <v>64</v>
      </c>
      <c r="C214" s="38">
        <v>610.09765602825223</v>
      </c>
      <c r="D214" s="137">
        <v>605.13102208652776</v>
      </c>
      <c r="E214" s="38">
        <v>563.692375859614</v>
      </c>
      <c r="F214" s="137">
        <v>534.13774766855363</v>
      </c>
      <c r="G214" s="38">
        <v>494.78879621065607</v>
      </c>
      <c r="I214" s="85"/>
    </row>
    <row r="215" spans="1:9" ht="11.4">
      <c r="A215" s="269"/>
      <c r="B215" s="100" t="s">
        <v>65</v>
      </c>
      <c r="C215" s="102">
        <v>0.49920829763930785</v>
      </c>
      <c r="D215" s="251">
        <v>0.49630832999987273</v>
      </c>
      <c r="E215" s="102">
        <v>0.4858701601758999</v>
      </c>
      <c r="F215" s="251">
        <v>0.48029093663419892</v>
      </c>
      <c r="G215" s="102">
        <v>0.47684656349410015</v>
      </c>
      <c r="I215" s="85"/>
    </row>
    <row r="216" spans="1:9">
      <c r="A216" s="269"/>
      <c r="B216" s="265" t="s">
        <v>15</v>
      </c>
      <c r="C216" s="38">
        <v>421.16189829470517</v>
      </c>
      <c r="D216" s="137">
        <v>414.30150112417948</v>
      </c>
      <c r="E216" s="38">
        <v>378.88207335701827</v>
      </c>
      <c r="F216" s="137">
        <v>352.62839697178009</v>
      </c>
      <c r="G216" s="38">
        <v>318.39047461739432</v>
      </c>
      <c r="I216" s="85"/>
    </row>
    <row r="217" spans="1:9">
      <c r="A217" s="269"/>
      <c r="B217" s="261" t="s">
        <v>118</v>
      </c>
      <c r="C217" s="38">
        <v>308.29449738649612</v>
      </c>
      <c r="D217" s="137">
        <v>290.92996079485897</v>
      </c>
      <c r="E217" s="38">
        <v>306.57355280987622</v>
      </c>
      <c r="F217" s="137">
        <v>254.08466248558611</v>
      </c>
      <c r="G217" s="38">
        <v>213.72729684678816</v>
      </c>
      <c r="I217" s="85"/>
    </row>
    <row r="218" spans="1:9" hidden="1">
      <c r="A218" s="269"/>
      <c r="B218" s="376" t="s">
        <v>31</v>
      </c>
      <c r="C218" s="38">
        <v>121.28016001192982</v>
      </c>
      <c r="D218" s="137">
        <v>117.49208704055337</v>
      </c>
      <c r="E218" s="38">
        <v>115.39240522215704</v>
      </c>
      <c r="F218" s="137">
        <v>116.80411160893263</v>
      </c>
      <c r="G218" s="38">
        <v>82.534328374058276</v>
      </c>
      <c r="I218" s="85"/>
    </row>
    <row r="219" spans="1:9">
      <c r="A219" s="269"/>
      <c r="B219" s="378" t="s">
        <v>259</v>
      </c>
      <c r="C219" s="382">
        <v>187.01433737456631</v>
      </c>
      <c r="D219" s="383">
        <v>173.4378737543056</v>
      </c>
      <c r="E219" s="382">
        <v>191.18114758771918</v>
      </c>
      <c r="F219" s="383">
        <v>137.28055087665348</v>
      </c>
      <c r="G219" s="382">
        <v>131.19296847272989</v>
      </c>
      <c r="I219" s="85"/>
    </row>
    <row r="220" spans="1:9">
      <c r="A220" s="269"/>
      <c r="B220" s="377" t="s">
        <v>255</v>
      </c>
      <c r="C220" s="38">
        <v>91.697629000000049</v>
      </c>
      <c r="D220" s="137">
        <v>90.039225000013403</v>
      </c>
      <c r="E220" s="38">
        <v>102.38181000002699</v>
      </c>
      <c r="F220" s="137">
        <v>69.806891000000007</v>
      </c>
      <c r="G220" s="38">
        <v>64.081164000000044</v>
      </c>
      <c r="I220" s="85"/>
    </row>
    <row r="221" spans="1:9">
      <c r="A221" s="269"/>
      <c r="B221" s="379" t="s">
        <v>256</v>
      </c>
      <c r="C221" s="382">
        <v>95.316708374566261</v>
      </c>
      <c r="D221" s="383">
        <v>83.398648754292196</v>
      </c>
      <c r="E221" s="382">
        <v>88.799337587692193</v>
      </c>
      <c r="F221" s="383">
        <v>67.473659876653471</v>
      </c>
      <c r="G221" s="382">
        <v>67.111804472729844</v>
      </c>
      <c r="I221" s="85"/>
    </row>
    <row r="222" spans="1:9">
      <c r="A222" s="269"/>
      <c r="B222" s="78" t="s">
        <v>60</v>
      </c>
      <c r="C222" s="91">
        <v>223.7090598552598</v>
      </c>
      <c r="D222" s="135">
        <v>186.99999999999997</v>
      </c>
      <c r="E222" s="91">
        <v>139.29078957945478</v>
      </c>
      <c r="F222" s="135">
        <v>107</v>
      </c>
      <c r="G222" s="91">
        <v>210.00000000000003</v>
      </c>
      <c r="I222" s="85"/>
    </row>
    <row r="223" spans="1:9">
      <c r="A223" s="269"/>
      <c r="B223" s="78" t="s">
        <v>61</v>
      </c>
      <c r="C223" s="91">
        <v>386.38859617299249</v>
      </c>
      <c r="D223" s="135">
        <v>418.13102208652782</v>
      </c>
      <c r="E223" s="91">
        <v>424.40158628015922</v>
      </c>
      <c r="F223" s="135">
        <v>428.13774766855363</v>
      </c>
      <c r="G223" s="91">
        <v>283.78879621065607</v>
      </c>
      <c r="I223" s="85"/>
    </row>
    <row r="224" spans="1:9">
      <c r="A224" s="269"/>
      <c r="B224" s="134" t="s">
        <v>69</v>
      </c>
      <c r="C224" s="92">
        <v>9123.6781373602425</v>
      </c>
      <c r="D224" s="250">
        <v>9003.8923778364697</v>
      </c>
      <c r="E224" s="92">
        <v>9034.5491638615422</v>
      </c>
      <c r="F224" s="250">
        <v>8881.5389144071123</v>
      </c>
      <c r="G224" s="92">
        <v>8915.8350907322056</v>
      </c>
      <c r="H224" s="85"/>
      <c r="I224" s="85"/>
    </row>
    <row r="225" spans="1:9" ht="29.25" customHeight="1">
      <c r="B225" s="543"/>
      <c r="C225" s="543"/>
      <c r="D225" s="543"/>
      <c r="E225" s="543"/>
      <c r="F225" s="543"/>
      <c r="G225" s="543"/>
    </row>
    <row r="226" spans="1:9" ht="11.4" hidden="1">
      <c r="B226" s="367"/>
      <c r="C226" s="367"/>
      <c r="D226" s="367"/>
      <c r="E226" s="367"/>
      <c r="F226" s="367"/>
      <c r="G226" s="367"/>
    </row>
    <row r="227" spans="1:9" s="32" customFormat="1" ht="12.75" hidden="1" customHeight="1">
      <c r="A227" s="114"/>
      <c r="B227" s="1"/>
      <c r="G227" s="217"/>
    </row>
    <row r="228" spans="1:9" ht="12.75" hidden="1" customHeight="1">
      <c r="A228" s="207"/>
      <c r="B228" s="539"/>
      <c r="C228" s="541"/>
      <c r="D228" s="542"/>
      <c r="E228" s="542"/>
      <c r="F228" s="542"/>
      <c r="G228" s="542"/>
    </row>
    <row r="229" spans="1:9" ht="24" hidden="1" customHeight="1">
      <c r="A229" s="208"/>
      <c r="B229" s="540"/>
      <c r="C229" s="201"/>
      <c r="D229" s="201"/>
      <c r="E229" s="201"/>
      <c r="F229" s="201"/>
      <c r="G229" s="201"/>
    </row>
    <row r="230" spans="1:9" hidden="1">
      <c r="A230" s="269"/>
      <c r="B230" s="40"/>
      <c r="C230" s="39"/>
      <c r="D230" s="138"/>
      <c r="E230" s="39"/>
      <c r="F230" s="138"/>
      <c r="G230" s="39"/>
      <c r="I230" s="85"/>
    </row>
    <row r="231" spans="1:9" hidden="1">
      <c r="A231" s="269"/>
      <c r="B231" s="40"/>
      <c r="C231" s="38"/>
      <c r="D231" s="137"/>
      <c r="E231" s="38"/>
      <c r="F231" s="137"/>
      <c r="G231" s="38"/>
      <c r="I231" s="85"/>
    </row>
    <row r="232" spans="1:9" hidden="1">
      <c r="A232" s="269"/>
      <c r="B232" s="81"/>
      <c r="C232" s="38"/>
      <c r="D232" s="137"/>
      <c r="E232" s="38"/>
      <c r="F232" s="137"/>
      <c r="G232" s="38"/>
      <c r="I232" s="85"/>
    </row>
    <row r="233" spans="1:9" ht="11.4" hidden="1">
      <c r="A233" s="269"/>
      <c r="B233" s="100"/>
      <c r="C233" s="102"/>
      <c r="D233" s="251"/>
      <c r="E233" s="102"/>
      <c r="F233" s="251"/>
      <c r="G233" s="102"/>
      <c r="I233" s="85"/>
    </row>
    <row r="234" spans="1:9" hidden="1">
      <c r="A234" s="269"/>
      <c r="B234" s="265"/>
      <c r="C234" s="38"/>
      <c r="D234" s="137"/>
      <c r="E234" s="38"/>
      <c r="F234" s="137"/>
      <c r="G234" s="38"/>
      <c r="I234" s="85"/>
    </row>
    <row r="235" spans="1:9" hidden="1">
      <c r="A235" s="269"/>
      <c r="B235" s="261"/>
      <c r="C235" s="38"/>
      <c r="D235" s="137"/>
      <c r="E235" s="38"/>
      <c r="F235" s="137"/>
      <c r="G235" s="38"/>
      <c r="I235" s="85"/>
    </row>
    <row r="236" spans="1:9" ht="11.25" hidden="1" customHeight="1">
      <c r="A236" s="269"/>
      <c r="B236" s="376"/>
      <c r="C236" s="38"/>
      <c r="D236" s="137"/>
      <c r="E236" s="38"/>
      <c r="F236" s="137"/>
      <c r="G236" s="38"/>
      <c r="I236" s="85"/>
    </row>
    <row r="237" spans="1:9" hidden="1">
      <c r="A237" s="269"/>
      <c r="B237" s="378"/>
      <c r="C237" s="382"/>
      <c r="D237" s="383"/>
      <c r="E237" s="382"/>
      <c r="F237" s="383"/>
      <c r="G237" s="382"/>
      <c r="I237" s="85"/>
    </row>
    <row r="238" spans="1:9" hidden="1">
      <c r="A238" s="269"/>
      <c r="B238" s="377"/>
      <c r="C238" s="38"/>
      <c r="D238" s="137"/>
      <c r="E238" s="38"/>
      <c r="F238" s="137"/>
      <c r="G238" s="38"/>
      <c r="I238" s="85"/>
    </row>
    <row r="239" spans="1:9" hidden="1">
      <c r="A239" s="269"/>
      <c r="B239" s="379"/>
      <c r="C239" s="382"/>
      <c r="D239" s="383"/>
      <c r="E239" s="382"/>
      <c r="F239" s="383"/>
      <c r="G239" s="382"/>
      <c r="I239" s="85"/>
    </row>
    <row r="240" spans="1:9" hidden="1">
      <c r="A240" s="269"/>
      <c r="B240" s="78"/>
      <c r="C240" s="91"/>
      <c r="D240" s="135"/>
      <c r="E240" s="91"/>
      <c r="F240" s="135"/>
      <c r="G240" s="91"/>
      <c r="I240" s="85"/>
    </row>
    <row r="241" spans="1:9" hidden="1">
      <c r="A241" s="269"/>
      <c r="B241" s="78"/>
      <c r="C241" s="91"/>
      <c r="D241" s="135"/>
      <c r="E241" s="91"/>
      <c r="F241" s="135"/>
      <c r="G241" s="91"/>
      <c r="I241" s="85"/>
    </row>
    <row r="242" spans="1:9" hidden="1">
      <c r="A242" s="269"/>
      <c r="B242" s="134"/>
      <c r="C242" s="92"/>
      <c r="D242" s="250"/>
      <c r="E242" s="92"/>
      <c r="F242" s="250"/>
      <c r="G242" s="92"/>
      <c r="H242" s="85"/>
      <c r="I242" s="85"/>
    </row>
    <row r="243" spans="1:9" ht="12" hidden="1">
      <c r="B243" s="370"/>
      <c r="F243" s="82"/>
    </row>
    <row r="244" spans="1:9" ht="12">
      <c r="B244" s="369"/>
    </row>
    <row r="245" spans="1:9" s="32" customFormat="1" ht="12.75" customHeight="1">
      <c r="A245" s="114"/>
      <c r="B245" s="1" t="s">
        <v>228</v>
      </c>
      <c r="G245" s="217" t="s">
        <v>194</v>
      </c>
    </row>
    <row r="246" spans="1:9" ht="12.75" customHeight="1">
      <c r="A246" s="207"/>
      <c r="B246" s="539" t="s">
        <v>0</v>
      </c>
      <c r="C246" s="541" t="s">
        <v>1</v>
      </c>
      <c r="D246" s="542"/>
      <c r="E246" s="542"/>
      <c r="F246" s="542"/>
      <c r="G246" s="542"/>
    </row>
    <row r="247" spans="1:9" ht="24" customHeight="1">
      <c r="A247" s="208"/>
      <c r="B247" s="540"/>
      <c r="C247" s="201">
        <f>$C$6</f>
        <v>44651</v>
      </c>
      <c r="D247" s="201">
        <f>$D$6</f>
        <v>44561</v>
      </c>
      <c r="E247" s="201">
        <f>$E$6</f>
        <v>44469</v>
      </c>
      <c r="F247" s="201">
        <f>$F$6</f>
        <v>44377</v>
      </c>
      <c r="G247" s="201">
        <f>$G$6</f>
        <v>44286</v>
      </c>
    </row>
    <row r="248" spans="1:9">
      <c r="A248" s="269"/>
      <c r="B248" s="2" t="s">
        <v>4</v>
      </c>
      <c r="C248" s="39">
        <v>1222.4994290641068</v>
      </c>
      <c r="D248" s="138">
        <v>1209.3679733980373</v>
      </c>
      <c r="E248" s="39">
        <v>1147.2366699290769</v>
      </c>
      <c r="F248" s="138">
        <v>1106.3900180006408</v>
      </c>
      <c r="G248" s="39">
        <v>1026.839224558807</v>
      </c>
      <c r="I248" s="85"/>
    </row>
    <row r="249" spans="1:9">
      <c r="A249" s="269"/>
      <c r="B249" s="40" t="s">
        <v>120</v>
      </c>
      <c r="C249" s="38">
        <v>997.79948898769112</v>
      </c>
      <c r="D249" s="137">
        <v>987.47505023509734</v>
      </c>
      <c r="E249" s="38">
        <v>933.93291929038389</v>
      </c>
      <c r="F249" s="137">
        <v>898.18281038143823</v>
      </c>
      <c r="G249" s="38">
        <v>831.32642102853561</v>
      </c>
      <c r="I249" s="85"/>
    </row>
    <row r="250" spans="1:9">
      <c r="A250" s="269"/>
      <c r="B250" s="32" t="s">
        <v>64</v>
      </c>
      <c r="C250" s="38">
        <v>607.941357915053</v>
      </c>
      <c r="D250" s="137">
        <v>598.49065289963391</v>
      </c>
      <c r="E250" s="38">
        <v>556.44878648492272</v>
      </c>
      <c r="F250" s="137">
        <v>532.10721324829774</v>
      </c>
      <c r="G250" s="38">
        <v>489.63769998521781</v>
      </c>
      <c r="I250" s="85"/>
    </row>
    <row r="251" spans="1:9" ht="11.4">
      <c r="A251" s="269"/>
      <c r="B251" s="100" t="s">
        <v>65</v>
      </c>
      <c r="C251" s="102">
        <v>0.49729377655453538</v>
      </c>
      <c r="D251" s="251">
        <v>0.49487886736244308</v>
      </c>
      <c r="E251" s="102">
        <v>0.4850339960971809</v>
      </c>
      <c r="F251" s="251">
        <v>0.48093999818424749</v>
      </c>
      <c r="G251" s="102">
        <v>0.47683969240228052</v>
      </c>
      <c r="I251" s="85"/>
    </row>
    <row r="252" spans="1:9">
      <c r="A252" s="269"/>
      <c r="B252" s="265" t="s">
        <v>15</v>
      </c>
      <c r="C252" s="38">
        <v>417.74105927262542</v>
      </c>
      <c r="D252" s="137">
        <v>407.6764821769425</v>
      </c>
      <c r="E252" s="38">
        <v>372.90632058130404</v>
      </c>
      <c r="F252" s="137">
        <v>351.70657811801573</v>
      </c>
      <c r="G252" s="38">
        <v>315.07723436897129</v>
      </c>
      <c r="I252" s="85"/>
    </row>
    <row r="253" spans="1:9">
      <c r="A253" s="269"/>
      <c r="B253" s="265" t="s">
        <v>118</v>
      </c>
      <c r="C253" s="38">
        <v>334.35324720154438</v>
      </c>
      <c r="D253" s="137">
        <v>325.83141367666246</v>
      </c>
      <c r="E253" s="38">
        <v>308.35037198325068</v>
      </c>
      <c r="F253" s="137">
        <v>272.36841124608389</v>
      </c>
      <c r="G253" s="38">
        <v>231.95617241975896</v>
      </c>
      <c r="I253" s="85"/>
    </row>
    <row r="254" spans="1:9">
      <c r="A254" s="269"/>
      <c r="B254" s="78" t="s">
        <v>60</v>
      </c>
      <c r="C254" s="91">
        <v>223.7090598552598</v>
      </c>
      <c r="D254" s="135">
        <v>186.99999999999997</v>
      </c>
      <c r="E254" s="91">
        <v>139.29078957945478</v>
      </c>
      <c r="F254" s="135">
        <v>107</v>
      </c>
      <c r="G254" s="91">
        <v>210.00000000000003</v>
      </c>
      <c r="I254" s="85"/>
    </row>
    <row r="255" spans="1:9">
      <c r="A255" s="269"/>
      <c r="B255" s="78" t="s">
        <v>61</v>
      </c>
      <c r="C255" s="91">
        <v>384.23229805979321</v>
      </c>
      <c r="D255" s="135">
        <v>411.49065289963391</v>
      </c>
      <c r="E255" s="91">
        <v>418.15799690546794</v>
      </c>
      <c r="F255" s="135">
        <v>426.10721324829774</v>
      </c>
      <c r="G255" s="91">
        <v>278.63769998521775</v>
      </c>
      <c r="I255" s="85"/>
    </row>
    <row r="256" spans="1:9">
      <c r="A256" s="269"/>
      <c r="B256" s="134" t="s">
        <v>69</v>
      </c>
      <c r="C256" s="92">
        <v>9123.6781373602425</v>
      </c>
      <c r="D256" s="250">
        <v>9003.8923778364697</v>
      </c>
      <c r="E256" s="92">
        <v>9034.5491638615422</v>
      </c>
      <c r="F256" s="250">
        <v>8881.5389144071123</v>
      </c>
      <c r="G256" s="92">
        <v>8915.8350907322056</v>
      </c>
      <c r="H256" s="85"/>
      <c r="I256" s="85"/>
    </row>
    <row r="257" spans="1:9" ht="23.25" customHeight="1">
      <c r="B257" s="548" t="s">
        <v>338</v>
      </c>
      <c r="C257" s="548"/>
      <c r="D257" s="548"/>
      <c r="E257" s="548"/>
      <c r="F257" s="548"/>
      <c r="G257" s="548"/>
    </row>
    <row r="258" spans="1:9" ht="26.25" customHeight="1">
      <c r="B258" s="543"/>
      <c r="C258" s="543"/>
      <c r="D258" s="543"/>
      <c r="E258" s="543"/>
      <c r="F258" s="543"/>
      <c r="G258" s="543"/>
    </row>
    <row r="259" spans="1:9" ht="11.4">
      <c r="B259" s="367"/>
      <c r="C259" s="514"/>
      <c r="D259" s="514"/>
      <c r="E259" s="514"/>
      <c r="F259" s="514"/>
      <c r="G259" s="514"/>
    </row>
    <row r="260" spans="1:9" s="32" customFormat="1" ht="12.75" hidden="1" customHeight="1">
      <c r="A260" s="114"/>
      <c r="B260" s="1"/>
      <c r="G260" s="217"/>
    </row>
    <row r="261" spans="1:9" ht="12.75" hidden="1" customHeight="1">
      <c r="A261" s="207"/>
      <c r="B261" s="539"/>
      <c r="C261" s="541"/>
      <c r="D261" s="542"/>
      <c r="E261" s="542"/>
      <c r="F261" s="542"/>
      <c r="G261" s="542"/>
    </row>
    <row r="262" spans="1:9" ht="24" hidden="1" customHeight="1">
      <c r="A262" s="208"/>
      <c r="B262" s="540"/>
      <c r="C262" s="201"/>
      <c r="D262" s="201"/>
      <c r="E262" s="201"/>
      <c r="F262" s="201"/>
      <c r="G262" s="201"/>
    </row>
    <row r="263" spans="1:9" hidden="1">
      <c r="A263" s="269"/>
      <c r="C263" s="39"/>
      <c r="D263" s="138"/>
      <c r="E263" s="39"/>
      <c r="F263" s="138"/>
      <c r="G263" s="39"/>
      <c r="I263" s="85"/>
    </row>
    <row r="264" spans="1:9" hidden="1">
      <c r="A264" s="269"/>
      <c r="B264" s="40"/>
      <c r="C264" s="38"/>
      <c r="D264" s="137"/>
      <c r="E264" s="38"/>
      <c r="F264" s="137"/>
      <c r="G264" s="38"/>
      <c r="I264" s="85"/>
    </row>
    <row r="265" spans="1:9" hidden="1">
      <c r="A265" s="269"/>
      <c r="B265" s="32"/>
      <c r="C265" s="38"/>
      <c r="D265" s="137"/>
      <c r="E265" s="38"/>
      <c r="F265" s="137"/>
      <c r="G265" s="38"/>
      <c r="I265" s="85"/>
    </row>
    <row r="266" spans="1:9" ht="11.4" hidden="1">
      <c r="A266" s="269"/>
      <c r="B266" s="100"/>
      <c r="C266" s="102"/>
      <c r="D266" s="251"/>
      <c r="E266" s="102"/>
      <c r="F266" s="251"/>
      <c r="G266" s="102"/>
      <c r="I266" s="85"/>
    </row>
    <row r="267" spans="1:9" hidden="1">
      <c r="A267" s="269"/>
      <c r="B267" s="265"/>
      <c r="C267" s="38"/>
      <c r="D267" s="137"/>
      <c r="E267" s="38"/>
      <c r="F267" s="137"/>
      <c r="G267" s="38"/>
      <c r="I267" s="85"/>
    </row>
    <row r="268" spans="1:9" hidden="1">
      <c r="A268" s="269"/>
      <c r="B268" s="265"/>
      <c r="C268" s="38"/>
      <c r="D268" s="137"/>
      <c r="E268" s="38"/>
      <c r="F268" s="137"/>
      <c r="G268" s="38"/>
      <c r="I268" s="85"/>
    </row>
    <row r="269" spans="1:9" hidden="1">
      <c r="A269" s="269"/>
      <c r="B269" s="78"/>
      <c r="C269" s="91"/>
      <c r="D269" s="135"/>
      <c r="E269" s="91"/>
      <c r="F269" s="135"/>
      <c r="G269" s="91"/>
      <c r="I269" s="85"/>
    </row>
    <row r="270" spans="1:9" hidden="1">
      <c r="A270" s="269"/>
      <c r="B270" s="78"/>
      <c r="C270" s="91"/>
      <c r="D270" s="135"/>
      <c r="E270" s="91"/>
      <c r="F270" s="135"/>
      <c r="G270" s="91"/>
      <c r="I270" s="85"/>
    </row>
    <row r="271" spans="1:9" hidden="1">
      <c r="A271" s="269"/>
      <c r="B271" s="134"/>
      <c r="C271" s="92"/>
      <c r="D271" s="250"/>
      <c r="E271" s="92"/>
      <c r="F271" s="250"/>
      <c r="G271" s="92"/>
      <c r="H271" s="85"/>
      <c r="I271" s="85"/>
    </row>
    <row r="272" spans="1:9" ht="16.5" hidden="1" customHeight="1">
      <c r="B272" s="549"/>
      <c r="C272" s="549"/>
      <c r="D272" s="549"/>
      <c r="E272" s="549"/>
      <c r="F272" s="549"/>
      <c r="G272" s="549"/>
    </row>
    <row r="273" spans="2:2" ht="12">
      <c r="B273" s="370"/>
    </row>
  </sheetData>
  <mergeCells count="47">
    <mergeCell ref="B136:G136"/>
    <mergeCell ref="B169:G169"/>
    <mergeCell ref="B27:G27"/>
    <mergeCell ref="B48:G48"/>
    <mergeCell ref="B68:G68"/>
    <mergeCell ref="B96:G96"/>
    <mergeCell ref="B108:G108"/>
    <mergeCell ref="B99:B100"/>
    <mergeCell ref="C126:G126"/>
    <mergeCell ref="C142:G142"/>
    <mergeCell ref="B83:G83"/>
    <mergeCell ref="B258:G258"/>
    <mergeCell ref="B257:G257"/>
    <mergeCell ref="B272:G272"/>
    <mergeCell ref="B246:B247"/>
    <mergeCell ref="C246:G246"/>
    <mergeCell ref="B261:B262"/>
    <mergeCell ref="C261:G261"/>
    <mergeCell ref="C228:G228"/>
    <mergeCell ref="B192:B193"/>
    <mergeCell ref="C192:G192"/>
    <mergeCell ref="B142:B143"/>
    <mergeCell ref="B174:B175"/>
    <mergeCell ref="C174:G174"/>
    <mergeCell ref="C210:G210"/>
    <mergeCell ref="B189:G189"/>
    <mergeCell ref="B154:B155"/>
    <mergeCell ref="C154:G154"/>
    <mergeCell ref="B210:B211"/>
    <mergeCell ref="B228:B229"/>
    <mergeCell ref="B225:G225"/>
    <mergeCell ref="B150:G150"/>
    <mergeCell ref="B5:B6"/>
    <mergeCell ref="B114:B115"/>
    <mergeCell ref="B126:B127"/>
    <mergeCell ref="B87:B88"/>
    <mergeCell ref="C5:G5"/>
    <mergeCell ref="C73:G73"/>
    <mergeCell ref="C87:G87"/>
    <mergeCell ref="C99:G99"/>
    <mergeCell ref="C114:G114"/>
    <mergeCell ref="B32:B33"/>
    <mergeCell ref="C32:G32"/>
    <mergeCell ref="B52:B53"/>
    <mergeCell ref="C52:G52"/>
    <mergeCell ref="B73:B74"/>
    <mergeCell ref="B123:G123"/>
  </mergeCells>
  <phoneticPr fontId="3" type="noConversion"/>
  <hyperlinks>
    <hyperlink ref="A1" location="Cover!E6" display="INDEX"/>
  </hyperlinks>
  <pageMargins left="0.23" right="0.25" top="1" bottom="1" header="0.5" footer="0.5"/>
  <pageSetup paperSize="9" scale="62" orientation="portrait" r:id="rId1"/>
  <headerFooter alignWithMargins="0">
    <oddFooter>Page &amp;P of &amp;N</oddFooter>
  </headerFooter>
  <rowBreaks count="3" manualBreakCount="3">
    <brk id="83" max="7" man="1"/>
    <brk id="151" max="7" man="1"/>
    <brk id="226" max="7" man="1"/>
  </rowBreaks>
  <colBreaks count="1" manualBreakCount="1">
    <brk id="8" max="1048575" man="1"/>
  </colBreaks>
  <ignoredErrors>
    <ignoredError sqref="A1:I2 A69:I70 A84:I84 B77:B82 A97:I100 B89:B95 A110:I111 B101:B107 B116:B122 A137:I137 B128:B135 A171 C171:I171 A125:I127 A123:A124 C124:I124 A4:I5 A3 C3:I3 A29:I29 A27:A28 C28:I28 A31:I33 A30 C30:I30 A51:I53 A50 C50:I50 A86:I88 A85 C85:I85 A113:I115 A112 C112:I112 A172:I172 A83 A6:B6 H21:I27 H44:XFD48 A68 H64:I68 A96 H89:I96 A108 H101:I108 H116:I123 A136 H128:I136 H6:I7 H9:XFD13 H36:XFD40 H56:XFD60 H77:I83 H34:I34 H54:I54 H75:I75 B75 A72:I74 A71 C71:I71 A48 A274:XFD1048576 A151:XFD151 J50:XFD54 J171:XFD172 J1:XFD7 J21:XFD34 J77:XFD108 J110:XFD137 J64:XFD7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"/>
  <sheetViews>
    <sheetView showGridLines="0" view="pageBreakPreview" topLeftCell="C136" zoomScaleNormal="100" zoomScaleSheetLayoutView="100" workbookViewId="0">
      <selection activeCell="J148" sqref="J148"/>
    </sheetView>
  </sheetViews>
  <sheetFormatPr defaultColWidth="9.109375" defaultRowHeight="10.199999999999999" outlineLevelRow="1"/>
  <cols>
    <col min="1" max="1" width="9.109375" style="2"/>
    <col min="2" max="2" width="34.6640625" style="2" bestFit="1" customWidth="1"/>
    <col min="3" max="7" width="11.5546875" style="2" customWidth="1"/>
    <col min="8" max="8" width="2" style="2" customWidth="1"/>
    <col min="9" max="16384" width="9.109375" style="2"/>
  </cols>
  <sheetData>
    <row r="1" spans="1:9" ht="12">
      <c r="A1" s="264" t="s">
        <v>13</v>
      </c>
    </row>
    <row r="3" spans="1:9" ht="12.6" customHeight="1">
      <c r="A3" s="260">
        <v>5</v>
      </c>
      <c r="B3" s="1" t="s">
        <v>57</v>
      </c>
      <c r="C3" s="1"/>
      <c r="D3" s="1"/>
      <c r="E3" s="1"/>
      <c r="F3" s="1"/>
      <c r="G3" s="1"/>
    </row>
    <row r="4" spans="1:9" ht="12.6" customHeight="1">
      <c r="B4" s="1"/>
      <c r="C4" s="1"/>
      <c r="D4" s="1"/>
      <c r="E4" s="1"/>
      <c r="F4" s="1"/>
      <c r="G4" s="1"/>
    </row>
    <row r="5" spans="1:9" ht="12.6" customHeight="1">
      <c r="A5" s="26">
        <v>5.0999999999999996</v>
      </c>
      <c r="B5" s="1" t="s">
        <v>106</v>
      </c>
      <c r="C5" s="1"/>
      <c r="D5" s="1"/>
      <c r="E5" s="1"/>
      <c r="F5" s="1"/>
      <c r="G5" s="1"/>
    </row>
    <row r="6" spans="1:9" ht="12.6" customHeight="1">
      <c r="B6" s="1"/>
      <c r="C6" s="1"/>
      <c r="D6" s="1"/>
      <c r="E6" s="1"/>
      <c r="F6" s="1"/>
      <c r="G6" s="1"/>
    </row>
    <row r="7" spans="1:9" ht="12.6" customHeight="1">
      <c r="A7" s="26" t="s">
        <v>73</v>
      </c>
      <c r="B7" s="1" t="s">
        <v>2</v>
      </c>
      <c r="C7" s="1"/>
      <c r="D7" s="1"/>
      <c r="E7" s="1"/>
      <c r="F7" s="1"/>
      <c r="G7" s="1"/>
    </row>
    <row r="8" spans="1:9" ht="12.6" customHeight="1">
      <c r="A8" s="27"/>
      <c r="G8" s="3" t="str">
        <f>'Trends file-4'!G4</f>
        <v>Amount in Rs Mn, except ratios</v>
      </c>
      <c r="H8" s="3"/>
    </row>
    <row r="9" spans="1:9" s="205" customFormat="1" ht="12.6" customHeight="1">
      <c r="A9" s="206"/>
      <c r="B9" s="555" t="s">
        <v>0</v>
      </c>
      <c r="C9" s="553" t="s">
        <v>1</v>
      </c>
      <c r="D9" s="554"/>
      <c r="E9" s="554"/>
      <c r="F9" s="554"/>
      <c r="G9" s="554"/>
      <c r="H9" s="326"/>
    </row>
    <row r="10" spans="1:9" s="205" customFormat="1" ht="24.9" customHeight="1">
      <c r="A10" s="206"/>
      <c r="B10" s="555"/>
      <c r="C10" s="201">
        <f>'Trends file-1'!C8</f>
        <v>44651</v>
      </c>
      <c r="D10" s="201">
        <f>'Trends file-1'!D8</f>
        <v>44561</v>
      </c>
      <c r="E10" s="201">
        <f>'Trends file-1'!E8</f>
        <v>44469</v>
      </c>
      <c r="F10" s="201">
        <f>'Trends file-1'!F8</f>
        <v>44377</v>
      </c>
      <c r="G10" s="201">
        <f>'Trends file-1'!G8</f>
        <v>44286</v>
      </c>
      <c r="H10" s="326"/>
      <c r="I10" s="326"/>
    </row>
    <row r="11" spans="1:9" ht="12.6" customHeight="1">
      <c r="A11" s="270"/>
      <c r="B11" s="2" t="s">
        <v>5</v>
      </c>
      <c r="C11" s="176">
        <v>11657.385531330016</v>
      </c>
      <c r="D11" s="202">
        <v>11495.266069392001</v>
      </c>
      <c r="E11" s="176">
        <v>11129.187637265994</v>
      </c>
      <c r="F11" s="202">
        <v>10609.737318035</v>
      </c>
      <c r="G11" s="176">
        <v>11209</v>
      </c>
      <c r="H11" s="5"/>
      <c r="I11" s="5"/>
    </row>
    <row r="12" spans="1:9" ht="24.9" customHeight="1">
      <c r="A12" s="271"/>
      <c r="B12" s="6" t="s">
        <v>6</v>
      </c>
      <c r="C12" s="177">
        <v>25567.951663144991</v>
      </c>
      <c r="D12" s="252">
        <v>22876.570594815999</v>
      </c>
      <c r="E12" s="177">
        <v>22376.661997925996</v>
      </c>
      <c r="F12" s="252">
        <v>21345.738363125001</v>
      </c>
      <c r="G12" s="177">
        <v>19578.734807861001</v>
      </c>
      <c r="H12" s="5"/>
      <c r="I12" s="5"/>
    </row>
    <row r="13" spans="1:9" ht="12.6" customHeight="1">
      <c r="A13" s="270"/>
      <c r="B13" s="2" t="s">
        <v>7</v>
      </c>
      <c r="C13" s="178">
        <v>49466.845806869991</v>
      </c>
      <c r="D13" s="203">
        <v>49610.442358732013</v>
      </c>
      <c r="E13" s="178">
        <v>46712.778690456013</v>
      </c>
      <c r="F13" s="203">
        <v>43497.783052555002</v>
      </c>
      <c r="G13" s="178">
        <v>45437.02002064306</v>
      </c>
      <c r="H13" s="5"/>
      <c r="I13" s="5"/>
    </row>
    <row r="14" spans="1:9" ht="12.6" customHeight="1">
      <c r="A14" s="270"/>
      <c r="B14" s="2" t="s">
        <v>62</v>
      </c>
      <c r="C14" s="178">
        <v>2155.2138242449992</v>
      </c>
      <c r="D14" s="203">
        <v>2005.6887684970009</v>
      </c>
      <c r="E14" s="178">
        <v>1719.958206863</v>
      </c>
      <c r="F14" s="203">
        <v>1745.5971458299998</v>
      </c>
      <c r="G14" s="178">
        <v>1395.0000000000002</v>
      </c>
      <c r="H14" s="5"/>
      <c r="I14" s="5"/>
    </row>
    <row r="15" spans="1:9" ht="12.6" customHeight="1">
      <c r="A15" s="270"/>
      <c r="B15" s="2" t="s">
        <v>8</v>
      </c>
      <c r="C15" s="178">
        <v>5824.4715122000052</v>
      </c>
      <c r="D15" s="203">
        <v>4980.392143037001</v>
      </c>
      <c r="E15" s="178">
        <v>5785.841610595</v>
      </c>
      <c r="F15" s="203">
        <v>5379.0952408350004</v>
      </c>
      <c r="G15" s="178">
        <v>5177.805480324012</v>
      </c>
      <c r="H15" s="5"/>
      <c r="I15" s="5"/>
    </row>
    <row r="16" spans="1:9" ht="12.6" customHeight="1">
      <c r="A16" s="270"/>
      <c r="B16" s="2" t="s">
        <v>42</v>
      </c>
      <c r="C16" s="178">
        <v>17829.894505745004</v>
      </c>
      <c r="D16" s="203">
        <v>14960.861486028007</v>
      </c>
      <c r="E16" s="178">
        <v>13473.949392461</v>
      </c>
      <c r="F16" s="203">
        <v>13999.050142024998</v>
      </c>
      <c r="G16" s="178">
        <v>12026.009381834005</v>
      </c>
      <c r="H16" s="5"/>
      <c r="I16" s="5"/>
    </row>
    <row r="17" spans="1:9" s="1" customFormat="1" ht="12.6" customHeight="1">
      <c r="A17" s="270"/>
      <c r="B17" s="7" t="s">
        <v>2</v>
      </c>
      <c r="C17" s="179">
        <v>112501.76284353501</v>
      </c>
      <c r="D17" s="204">
        <v>105929.22142050201</v>
      </c>
      <c r="E17" s="179">
        <v>101198.37753556699</v>
      </c>
      <c r="F17" s="204">
        <v>96577.001262405</v>
      </c>
      <c r="G17" s="179">
        <v>94823.569690662072</v>
      </c>
      <c r="H17" s="4"/>
      <c r="I17" s="5"/>
    </row>
    <row r="18" spans="1:9" s="6" customFormat="1" ht="24" customHeight="1">
      <c r="A18" s="501"/>
      <c r="B18" s="551"/>
      <c r="C18" s="551"/>
      <c r="D18" s="551"/>
      <c r="E18" s="551"/>
      <c r="F18" s="551"/>
      <c r="G18" s="551"/>
    </row>
    <row r="19" spans="1:9">
      <c r="A19" s="26" t="s">
        <v>74</v>
      </c>
      <c r="B19" s="1" t="s">
        <v>139</v>
      </c>
      <c r="C19" s="1"/>
      <c r="D19" s="1"/>
      <c r="E19" s="1"/>
      <c r="F19" s="1"/>
      <c r="G19" s="1"/>
    </row>
    <row r="20" spans="1:9">
      <c r="A20" s="27"/>
      <c r="G20" s="3" t="str">
        <f>G8</f>
        <v>Amount in Rs Mn, except ratios</v>
      </c>
      <c r="I20" s="3"/>
    </row>
    <row r="21" spans="1:9" s="205" customFormat="1" ht="12.75" customHeight="1">
      <c r="A21" s="206"/>
      <c r="B21" s="555" t="s">
        <v>0</v>
      </c>
      <c r="C21" s="553" t="s">
        <v>1</v>
      </c>
      <c r="D21" s="554"/>
      <c r="E21" s="554"/>
      <c r="F21" s="554"/>
      <c r="G21" s="554"/>
      <c r="H21" s="327"/>
      <c r="I21" s="327"/>
    </row>
    <row r="22" spans="1:9" s="205" customFormat="1" ht="24.9" customHeight="1">
      <c r="A22" s="206"/>
      <c r="B22" s="555"/>
      <c r="C22" s="201">
        <f>'Trends file-4'!$C$6</f>
        <v>44651</v>
      </c>
      <c r="D22" s="201">
        <f>'Trends file-4'!$D$6</f>
        <v>44561</v>
      </c>
      <c r="E22" s="201">
        <f>'Trends file-4'!$E$6</f>
        <v>44469</v>
      </c>
      <c r="F22" s="201">
        <f>'Trends file-4'!$F$6</f>
        <v>44377</v>
      </c>
      <c r="G22" s="201">
        <f>'Trends file-4'!$G$6</f>
        <v>44286</v>
      </c>
      <c r="H22" s="326"/>
      <c r="I22" s="326"/>
    </row>
    <row r="23" spans="1:9">
      <c r="A23" s="270"/>
      <c r="B23" s="2" t="s">
        <v>96</v>
      </c>
      <c r="C23" s="176">
        <v>54339.999562979967</v>
      </c>
      <c r="D23" s="202">
        <v>53638.248905437969</v>
      </c>
      <c r="E23" s="176">
        <v>51617.815415183024</v>
      </c>
      <c r="F23" s="202">
        <v>47935.819535399991</v>
      </c>
      <c r="G23" s="176">
        <v>46819.096037249044</v>
      </c>
      <c r="H23" s="5"/>
      <c r="I23" s="5"/>
    </row>
    <row r="24" spans="1:9">
      <c r="A24" s="270"/>
      <c r="B24" s="6" t="s">
        <v>97</v>
      </c>
      <c r="C24" s="178">
        <v>16919.016691000004</v>
      </c>
      <c r="D24" s="203">
        <v>17129.841404000006</v>
      </c>
      <c r="E24" s="178">
        <v>16744.718853999999</v>
      </c>
      <c r="F24" s="203">
        <v>15457.042116000001</v>
      </c>
      <c r="G24" s="178">
        <v>14948.175663000002</v>
      </c>
      <c r="H24" s="5"/>
      <c r="I24" s="5"/>
    </row>
    <row r="25" spans="1:9" s="1" customFormat="1">
      <c r="A25" s="270"/>
      <c r="B25" s="7" t="s">
        <v>139</v>
      </c>
      <c r="C25" s="179">
        <v>71259.016253979979</v>
      </c>
      <c r="D25" s="204">
        <v>70768.090309437976</v>
      </c>
      <c r="E25" s="179">
        <v>68362.53426918303</v>
      </c>
      <c r="F25" s="204">
        <v>63392.861651399988</v>
      </c>
      <c r="G25" s="179">
        <v>61767.271700249046</v>
      </c>
      <c r="H25" s="4"/>
      <c r="I25" s="5"/>
    </row>
    <row r="26" spans="1:9" ht="30.75" customHeight="1">
      <c r="A26" s="27"/>
      <c r="B26" s="550"/>
      <c r="C26" s="550"/>
      <c r="D26" s="550"/>
      <c r="E26" s="550"/>
      <c r="F26" s="550"/>
      <c r="G26" s="550"/>
    </row>
    <row r="27" spans="1:9">
      <c r="A27" s="26" t="s">
        <v>101</v>
      </c>
      <c r="B27" s="1" t="s">
        <v>14</v>
      </c>
      <c r="C27" s="1"/>
      <c r="D27" s="1"/>
      <c r="E27" s="1"/>
      <c r="F27" s="1"/>
      <c r="G27" s="1"/>
    </row>
    <row r="28" spans="1:9">
      <c r="A28" s="27"/>
      <c r="G28" s="3" t="str">
        <f>G20</f>
        <v>Amount in Rs Mn, except ratios</v>
      </c>
      <c r="I28" s="3"/>
    </row>
    <row r="29" spans="1:9" s="205" customFormat="1" ht="12.75" customHeight="1">
      <c r="A29" s="209"/>
      <c r="B29" s="555" t="s">
        <v>0</v>
      </c>
      <c r="C29" s="553" t="s">
        <v>1</v>
      </c>
      <c r="D29" s="554"/>
      <c r="E29" s="554"/>
      <c r="F29" s="554"/>
      <c r="G29" s="554"/>
      <c r="H29" s="327"/>
      <c r="I29" s="327"/>
    </row>
    <row r="30" spans="1:9" s="205" customFormat="1" ht="24.9" customHeight="1">
      <c r="A30" s="210"/>
      <c r="B30" s="555"/>
      <c r="C30" s="201">
        <f>'Trends file-4'!$C$6</f>
        <v>44651</v>
      </c>
      <c r="D30" s="201">
        <f>'Trends file-4'!$D$6</f>
        <v>44561</v>
      </c>
      <c r="E30" s="201">
        <f>'Trends file-4'!$E$6</f>
        <v>44469</v>
      </c>
      <c r="F30" s="201">
        <f>'Trends file-4'!$F$6</f>
        <v>44377</v>
      </c>
      <c r="G30" s="201">
        <f>'Trends file-4'!$G$6</f>
        <v>44286</v>
      </c>
      <c r="H30" s="326"/>
      <c r="I30" s="326"/>
    </row>
    <row r="31" spans="1:9">
      <c r="A31" s="270"/>
      <c r="B31" s="2" t="s">
        <v>10</v>
      </c>
      <c r="C31" s="176">
        <v>1199.5001364449997</v>
      </c>
      <c r="D31" s="202">
        <v>962.37499916000047</v>
      </c>
      <c r="E31" s="176">
        <v>1176.3454962060002</v>
      </c>
      <c r="F31" s="202">
        <v>1164.1726453499998</v>
      </c>
      <c r="G31" s="176">
        <v>843.87883190600041</v>
      </c>
      <c r="H31" s="5"/>
      <c r="I31" s="5"/>
    </row>
    <row r="32" spans="1:9">
      <c r="A32" s="270"/>
      <c r="B32" s="6" t="s">
        <v>11</v>
      </c>
      <c r="C32" s="178">
        <v>2657.3156528050004</v>
      </c>
      <c r="D32" s="203">
        <v>13.160800445999939</v>
      </c>
      <c r="E32" s="178">
        <v>-760.32906742399996</v>
      </c>
      <c r="F32" s="203">
        <v>-1956.1041099900001</v>
      </c>
      <c r="G32" s="178">
        <v>-734.77492992899352</v>
      </c>
      <c r="H32" s="5"/>
      <c r="I32" s="5"/>
    </row>
    <row r="33" spans="1:9" hidden="1">
      <c r="A33" s="270"/>
      <c r="B33" s="6"/>
      <c r="C33" s="178"/>
      <c r="D33" s="203"/>
      <c r="E33" s="178"/>
      <c r="F33" s="203"/>
      <c r="G33" s="178"/>
      <c r="H33" s="5"/>
      <c r="I33" s="5"/>
    </row>
    <row r="34" spans="1:9" s="1" customFormat="1">
      <c r="A34" s="270"/>
      <c r="B34" s="7" t="s">
        <v>31</v>
      </c>
      <c r="C34" s="179">
        <v>3856.8157892500003</v>
      </c>
      <c r="D34" s="204">
        <v>975.53579960600041</v>
      </c>
      <c r="E34" s="179">
        <v>416.01642878200028</v>
      </c>
      <c r="F34" s="204">
        <v>-791.93146464000029</v>
      </c>
      <c r="G34" s="179">
        <v>109.1039019770069</v>
      </c>
      <c r="H34" s="4"/>
      <c r="I34" s="5"/>
    </row>
    <row r="35" spans="1:9" ht="24" customHeight="1">
      <c r="A35" s="27"/>
      <c r="B35" s="550"/>
      <c r="C35" s="550"/>
      <c r="D35" s="550"/>
      <c r="E35" s="550"/>
      <c r="F35" s="550"/>
      <c r="G35" s="550"/>
    </row>
    <row r="36" spans="1:9" ht="11.4">
      <c r="A36" s="27"/>
      <c r="B36" s="18"/>
      <c r="C36" s="18"/>
      <c r="D36" s="18"/>
      <c r="E36" s="18"/>
      <c r="F36" s="18"/>
      <c r="G36" s="18"/>
    </row>
    <row r="37" spans="1:9" s="32" customFormat="1" ht="11.4">
      <c r="A37" s="34"/>
      <c r="B37" s="37"/>
      <c r="C37" s="37"/>
      <c r="D37" s="37"/>
      <c r="E37" s="37"/>
      <c r="F37" s="37"/>
      <c r="G37" s="37"/>
    </row>
    <row r="38" spans="1:9" s="32" customFormat="1" ht="11.4">
      <c r="A38" s="34"/>
      <c r="B38" s="37"/>
      <c r="C38" s="37"/>
      <c r="D38" s="37"/>
      <c r="E38" s="37"/>
      <c r="F38" s="37"/>
      <c r="G38" s="112"/>
    </row>
    <row r="39" spans="1:9" ht="12.6" customHeight="1">
      <c r="A39" s="26">
        <v>5.2</v>
      </c>
      <c r="B39" s="1" t="s">
        <v>243</v>
      </c>
      <c r="C39" s="1"/>
      <c r="D39" s="1"/>
      <c r="E39" s="1"/>
      <c r="F39" s="1"/>
      <c r="G39" s="1"/>
    </row>
    <row r="40" spans="1:9" ht="12.6" customHeight="1">
      <c r="B40" s="1"/>
      <c r="C40" s="1"/>
      <c r="D40" s="1"/>
      <c r="E40" s="1"/>
      <c r="F40" s="1"/>
      <c r="G40" s="1"/>
    </row>
    <row r="41" spans="1:9" ht="12.6" customHeight="1">
      <c r="A41" s="26" t="s">
        <v>241</v>
      </c>
      <c r="B41" s="1" t="s">
        <v>2</v>
      </c>
      <c r="C41" s="1"/>
      <c r="D41" s="1"/>
      <c r="E41" s="1"/>
      <c r="F41" s="1"/>
      <c r="G41" s="1"/>
    </row>
    <row r="42" spans="1:9" ht="12.6" customHeight="1">
      <c r="A42" s="27"/>
      <c r="G42" s="3" t="str">
        <f>G28</f>
        <v>Amount in Rs Mn, except ratios</v>
      </c>
      <c r="H42" s="3"/>
    </row>
    <row r="43" spans="1:9" s="205" customFormat="1" ht="12.6" customHeight="1">
      <c r="A43" s="206"/>
      <c r="B43" s="555" t="s">
        <v>0</v>
      </c>
      <c r="C43" s="553" t="s">
        <v>1</v>
      </c>
      <c r="D43" s="554"/>
      <c r="E43" s="554"/>
      <c r="F43" s="554"/>
      <c r="G43" s="554"/>
      <c r="H43" s="371"/>
    </row>
    <row r="44" spans="1:9" s="205" customFormat="1" ht="24.9" customHeight="1">
      <c r="A44" s="206"/>
      <c r="B44" s="555"/>
      <c r="C44" s="201">
        <f>'Trends file-4'!$C$6</f>
        <v>44651</v>
      </c>
      <c r="D44" s="201">
        <f>'Trends file-4'!$D$6</f>
        <v>44561</v>
      </c>
      <c r="E44" s="201">
        <f>'Trends file-4'!$E$6</f>
        <v>44469</v>
      </c>
      <c r="F44" s="201">
        <f>'Trends file-4'!$F$6</f>
        <v>44377</v>
      </c>
      <c r="G44" s="201">
        <f>'Trends file-4'!$G$6</f>
        <v>44286</v>
      </c>
      <c r="H44" s="371"/>
      <c r="I44" s="371"/>
    </row>
    <row r="45" spans="1:9" ht="12.6" customHeight="1">
      <c r="A45" s="270"/>
      <c r="B45" s="2" t="s">
        <v>5</v>
      </c>
      <c r="C45" s="176">
        <v>161.53170149300007</v>
      </c>
      <c r="D45" s="202">
        <v>146.89126496799997</v>
      </c>
      <c r="E45" s="176">
        <v>124.091838333</v>
      </c>
      <c r="F45" s="202">
        <v>113.524663788</v>
      </c>
      <c r="G45" s="176">
        <v>110.04947450399999</v>
      </c>
      <c r="H45" s="5"/>
      <c r="I45" s="5"/>
    </row>
    <row r="46" spans="1:9" ht="24.9" customHeight="1">
      <c r="A46" s="271"/>
      <c r="B46" s="6" t="s">
        <v>6</v>
      </c>
      <c r="C46" s="177">
        <v>168.51904433300004</v>
      </c>
      <c r="D46" s="252">
        <v>180.24156217299995</v>
      </c>
      <c r="E46" s="177">
        <v>178.23511135400005</v>
      </c>
      <c r="F46" s="252">
        <v>176.97672435299998</v>
      </c>
      <c r="G46" s="177">
        <v>171.45834355099998</v>
      </c>
      <c r="H46" s="5"/>
      <c r="I46" s="5"/>
    </row>
    <row r="47" spans="1:9" ht="12.6" customHeight="1">
      <c r="A47" s="270"/>
      <c r="B47" s="2" t="s">
        <v>7</v>
      </c>
      <c r="C47" s="178">
        <v>480.38044280699989</v>
      </c>
      <c r="D47" s="203">
        <v>452.78783998200004</v>
      </c>
      <c r="E47" s="178">
        <v>429.66405475600004</v>
      </c>
      <c r="F47" s="203">
        <v>456.94743305999998</v>
      </c>
      <c r="G47" s="178">
        <v>372.79311774699994</v>
      </c>
      <c r="H47" s="5"/>
      <c r="I47" s="5"/>
    </row>
    <row r="48" spans="1:9" ht="12.6" customHeight="1">
      <c r="A48" s="270"/>
      <c r="B48" s="2" t="s">
        <v>62</v>
      </c>
      <c r="C48" s="178">
        <v>0.20521351100000007</v>
      </c>
      <c r="D48" s="203">
        <v>0.56629946399999997</v>
      </c>
      <c r="E48" s="178">
        <v>-1.477217172</v>
      </c>
      <c r="F48" s="203">
        <v>0.34377621000000003</v>
      </c>
      <c r="G48" s="178">
        <v>0.26611130299999997</v>
      </c>
      <c r="H48" s="5"/>
      <c r="I48" s="5"/>
    </row>
    <row r="49" spans="1:9" ht="12.6" customHeight="1">
      <c r="A49" s="270"/>
      <c r="B49" s="2" t="s">
        <v>8</v>
      </c>
      <c r="C49" s="178">
        <v>101.56028803700003</v>
      </c>
      <c r="D49" s="203">
        <v>102.48517934000002</v>
      </c>
      <c r="E49" s="178">
        <v>99.462311713999995</v>
      </c>
      <c r="F49" s="203">
        <v>102.46364865700001</v>
      </c>
      <c r="G49" s="178">
        <v>104.93748835699996</v>
      </c>
      <c r="H49" s="5"/>
      <c r="I49" s="5"/>
    </row>
    <row r="50" spans="1:9" ht="12.6" customHeight="1">
      <c r="A50" s="270"/>
      <c r="B50" s="2" t="s">
        <v>42</v>
      </c>
      <c r="C50" s="178">
        <v>247.79717763199977</v>
      </c>
      <c r="D50" s="203">
        <v>301.65269811700011</v>
      </c>
      <c r="E50" s="178">
        <v>269.21184681599999</v>
      </c>
      <c r="F50" s="203">
        <v>212.015625398</v>
      </c>
      <c r="G50" s="178">
        <v>344.45611299199987</v>
      </c>
      <c r="H50" s="5"/>
      <c r="I50" s="5"/>
    </row>
    <row r="51" spans="1:9" s="1" customFormat="1" ht="12.6" customHeight="1">
      <c r="A51" s="270"/>
      <c r="B51" s="7" t="s">
        <v>2</v>
      </c>
      <c r="C51" s="179">
        <v>1159.993867813</v>
      </c>
      <c r="D51" s="204">
        <v>1184.6248440440002</v>
      </c>
      <c r="E51" s="179">
        <v>1099.1879458010001</v>
      </c>
      <c r="F51" s="204">
        <v>1062.271871466</v>
      </c>
      <c r="G51" s="179">
        <v>1103.9606484539997</v>
      </c>
      <c r="H51" s="4"/>
      <c r="I51" s="5"/>
    </row>
    <row r="52" spans="1:9" ht="30" customHeight="1">
      <c r="A52" s="270"/>
      <c r="B52" s="543"/>
      <c r="C52" s="543"/>
      <c r="D52" s="543"/>
      <c r="E52" s="543"/>
      <c r="F52" s="543"/>
      <c r="G52" s="543"/>
    </row>
    <row r="53" spans="1:9">
      <c r="A53" s="26" t="s">
        <v>242</v>
      </c>
      <c r="B53" s="1" t="s">
        <v>139</v>
      </c>
      <c r="C53" s="1"/>
      <c r="D53" s="1"/>
      <c r="E53" s="1"/>
      <c r="F53" s="1"/>
      <c r="G53" s="1"/>
    </row>
    <row r="54" spans="1:9">
      <c r="A54" s="27"/>
      <c r="G54" s="3" t="str">
        <f>G42</f>
        <v>Amount in Rs Mn, except ratios</v>
      </c>
      <c r="I54" s="3"/>
    </row>
    <row r="55" spans="1:9" s="205" customFormat="1" ht="12.75" customHeight="1">
      <c r="A55" s="206"/>
      <c r="B55" s="555" t="s">
        <v>0</v>
      </c>
      <c r="C55" s="553" t="s">
        <v>1</v>
      </c>
      <c r="D55" s="554"/>
      <c r="E55" s="554"/>
      <c r="F55" s="554"/>
      <c r="G55" s="554"/>
      <c r="H55" s="327"/>
      <c r="I55" s="327"/>
    </row>
    <row r="56" spans="1:9" s="205" customFormat="1" ht="24.9" customHeight="1">
      <c r="A56" s="206"/>
      <c r="B56" s="555"/>
      <c r="C56" s="201">
        <f>'Trends file-4'!$C$6</f>
        <v>44651</v>
      </c>
      <c r="D56" s="201">
        <f>'Trends file-4'!$D$6</f>
        <v>44561</v>
      </c>
      <c r="E56" s="201">
        <f>'Trends file-4'!$E$6</f>
        <v>44469</v>
      </c>
      <c r="F56" s="201">
        <f>'Trends file-4'!$F$6</f>
        <v>44377</v>
      </c>
      <c r="G56" s="201">
        <f>'Trends file-4'!$G$6</f>
        <v>44286</v>
      </c>
      <c r="H56" s="371"/>
      <c r="I56" s="371"/>
    </row>
    <row r="57" spans="1:9">
      <c r="A57" s="270"/>
      <c r="B57" s="2" t="s">
        <v>96</v>
      </c>
      <c r="C57" s="176">
        <v>429.62260721699988</v>
      </c>
      <c r="D57" s="202">
        <v>437.0769944380001</v>
      </c>
      <c r="E57" s="176">
        <v>408.13227410299999</v>
      </c>
      <c r="F57" s="202">
        <v>370.54000691500005</v>
      </c>
      <c r="G57" s="176">
        <v>329.10917850199991</v>
      </c>
      <c r="H57" s="5"/>
      <c r="I57" s="5"/>
    </row>
    <row r="58" spans="1:9">
      <c r="A58" s="270"/>
      <c r="B58" s="6" t="s">
        <v>97</v>
      </c>
      <c r="C58" s="178">
        <v>37.779827874999995</v>
      </c>
      <c r="D58" s="203">
        <v>40.749387619999993</v>
      </c>
      <c r="E58" s="178">
        <v>40.736145347000004</v>
      </c>
      <c r="F58" s="203">
        <v>36.56272448</v>
      </c>
      <c r="G58" s="178">
        <v>28.082583716000006</v>
      </c>
      <c r="H58" s="5"/>
      <c r="I58" s="5"/>
    </row>
    <row r="59" spans="1:9" s="1" customFormat="1">
      <c r="A59" s="270"/>
      <c r="B59" s="7" t="s">
        <v>139</v>
      </c>
      <c r="C59" s="179">
        <v>467.40243509199991</v>
      </c>
      <c r="D59" s="204">
        <v>477.82638205800009</v>
      </c>
      <c r="E59" s="179">
        <v>448.86841944999998</v>
      </c>
      <c r="F59" s="204">
        <v>407.10273139500003</v>
      </c>
      <c r="G59" s="179">
        <v>357.19176221799989</v>
      </c>
      <c r="H59" s="4"/>
      <c r="I59" s="5"/>
    </row>
    <row r="60" spans="1:9" ht="30" customHeight="1">
      <c r="A60" s="27"/>
      <c r="B60" s="543"/>
      <c r="C60" s="543"/>
      <c r="D60" s="543"/>
      <c r="E60" s="543"/>
      <c r="F60" s="543"/>
      <c r="G60" s="543"/>
      <c r="H60" s="563"/>
      <c r="I60" s="563"/>
    </row>
    <row r="61" spans="1:9" s="32" customFormat="1">
      <c r="A61" s="41">
        <v>5.3</v>
      </c>
      <c r="B61" s="22" t="s">
        <v>113</v>
      </c>
      <c r="C61" s="22"/>
      <c r="D61" s="22"/>
      <c r="E61" s="22"/>
      <c r="F61" s="22"/>
      <c r="G61" s="22"/>
    </row>
    <row r="62" spans="1:9" s="32" customFormat="1">
      <c r="B62" s="22"/>
      <c r="C62" s="22"/>
      <c r="D62" s="22"/>
      <c r="E62" s="22"/>
      <c r="F62" s="22"/>
      <c r="G62" s="22"/>
    </row>
    <row r="63" spans="1:9" s="32" customFormat="1">
      <c r="A63" s="41" t="s">
        <v>107</v>
      </c>
      <c r="B63" s="22" t="s">
        <v>277</v>
      </c>
      <c r="C63" s="22"/>
      <c r="D63" s="22"/>
      <c r="E63" s="22"/>
      <c r="F63" s="22"/>
      <c r="G63" s="22"/>
    </row>
    <row r="64" spans="1:9" s="32" customFormat="1">
      <c r="A64" s="34"/>
      <c r="G64" s="113" t="s">
        <v>195</v>
      </c>
    </row>
    <row r="65" spans="1:8" s="205" customFormat="1" ht="12" customHeight="1">
      <c r="A65" s="206"/>
      <c r="B65" s="555" t="s">
        <v>0</v>
      </c>
      <c r="C65" s="553" t="s">
        <v>1</v>
      </c>
      <c r="D65" s="554"/>
      <c r="E65" s="554"/>
      <c r="F65" s="554"/>
      <c r="G65" s="554"/>
    </row>
    <row r="66" spans="1:8" s="205" customFormat="1" ht="12" customHeight="1">
      <c r="A66" s="206"/>
      <c r="B66" s="555"/>
      <c r="C66" s="201">
        <f>'Trends file-4'!$C$6</f>
        <v>44651</v>
      </c>
      <c r="D66" s="201">
        <f>'Trends file-4'!$D$6</f>
        <v>44561</v>
      </c>
      <c r="E66" s="201">
        <f>'Trends file-4'!$E$6</f>
        <v>44469</v>
      </c>
      <c r="F66" s="201">
        <f>'Trends file-4'!$F$6</f>
        <v>44377</v>
      </c>
      <c r="G66" s="201">
        <f>'Trends file-4'!$G$6</f>
        <v>44286</v>
      </c>
    </row>
    <row r="67" spans="1:8">
      <c r="A67" s="270"/>
      <c r="B67" s="2" t="s">
        <v>5</v>
      </c>
      <c r="C67" s="176">
        <v>105.46579124996163</v>
      </c>
      <c r="D67" s="202">
        <v>103.44502065978759</v>
      </c>
      <c r="E67" s="176">
        <v>99.532362776108585</v>
      </c>
      <c r="F67" s="202">
        <v>101.40012032760009</v>
      </c>
      <c r="G67" s="176">
        <v>95.7854761715856</v>
      </c>
    </row>
    <row r="68" spans="1:8">
      <c r="A68" s="271"/>
      <c r="B68" s="6" t="s">
        <v>6</v>
      </c>
      <c r="C68" s="177">
        <v>58.712985745160907</v>
      </c>
      <c r="D68" s="252">
        <v>56.959248122391948</v>
      </c>
      <c r="E68" s="177">
        <v>56.38816634965719</v>
      </c>
      <c r="F68" s="252">
        <v>52.375598411782377</v>
      </c>
      <c r="G68" s="177">
        <v>52.611729361578988</v>
      </c>
    </row>
    <row r="69" spans="1:8">
      <c r="A69" s="270"/>
      <c r="B69" s="2" t="s">
        <v>7</v>
      </c>
      <c r="C69" s="178">
        <v>212.07615239625724</v>
      </c>
      <c r="D69" s="203">
        <v>203.7007514506476</v>
      </c>
      <c r="E69" s="178">
        <v>202.44509418781695</v>
      </c>
      <c r="F69" s="203">
        <v>195.11175420343113</v>
      </c>
      <c r="G69" s="178">
        <v>176.9953690885246</v>
      </c>
    </row>
    <row r="70" spans="1:8">
      <c r="A70" s="270"/>
      <c r="B70" s="2" t="s">
        <v>62</v>
      </c>
      <c r="C70" s="178">
        <v>60.521163081293068</v>
      </c>
      <c r="D70" s="203">
        <v>61.488654380760387</v>
      </c>
      <c r="E70" s="178">
        <v>57.38322151292725</v>
      </c>
      <c r="F70" s="203">
        <v>54.431488879820137</v>
      </c>
      <c r="G70" s="178">
        <v>47.115597997106804</v>
      </c>
    </row>
    <row r="71" spans="1:8">
      <c r="A71" s="270"/>
      <c r="B71" s="2" t="s">
        <v>8</v>
      </c>
      <c r="C71" s="178">
        <v>80.874244436101407</v>
      </c>
      <c r="D71" s="203">
        <v>80.507436827189537</v>
      </c>
      <c r="E71" s="178">
        <v>74.616625176317967</v>
      </c>
      <c r="F71" s="203">
        <v>71.09524820956311</v>
      </c>
      <c r="G71" s="178">
        <v>68.659205294659557</v>
      </c>
    </row>
    <row r="72" spans="1:8">
      <c r="A72" s="270"/>
      <c r="B72" s="2" t="s">
        <v>42</v>
      </c>
      <c r="C72" s="178">
        <v>100.15240534833923</v>
      </c>
      <c r="D72" s="203">
        <v>107.41305593607547</v>
      </c>
      <c r="E72" s="178">
        <v>103.69456589060427</v>
      </c>
      <c r="F72" s="203">
        <v>103.48257583877574</v>
      </c>
      <c r="G72" s="178">
        <v>98.100369976344481</v>
      </c>
    </row>
    <row r="73" spans="1:8">
      <c r="A73" s="270"/>
      <c r="B73" s="7" t="s">
        <v>2</v>
      </c>
      <c r="C73" s="179">
        <v>617.80274225711344</v>
      </c>
      <c r="D73" s="204">
        <v>613.51416737685258</v>
      </c>
      <c r="E73" s="179">
        <v>594.0600358934322</v>
      </c>
      <c r="F73" s="204">
        <v>577.89678587097251</v>
      </c>
      <c r="G73" s="179">
        <v>539.26774788980003</v>
      </c>
    </row>
    <row r="74" spans="1:8" ht="21.75" hidden="1" customHeight="1">
      <c r="A74" s="27"/>
      <c r="B74" s="556"/>
      <c r="C74" s="556"/>
      <c r="D74" s="556"/>
      <c r="E74" s="556"/>
      <c r="F74" s="556"/>
      <c r="G74" s="556"/>
      <c r="H74" s="32"/>
    </row>
    <row r="75" spans="1:8" hidden="1">
      <c r="A75" s="27"/>
      <c r="B75" s="81"/>
      <c r="C75" s="81"/>
      <c r="D75" s="81"/>
      <c r="E75" s="81"/>
      <c r="F75" s="32"/>
      <c r="G75" s="471"/>
      <c r="H75" s="32"/>
    </row>
    <row r="76" spans="1:8" hidden="1">
      <c r="A76" s="27"/>
      <c r="B76" s="22"/>
      <c r="C76" s="81"/>
      <c r="D76" s="81"/>
      <c r="E76" s="81"/>
      <c r="F76" s="32"/>
      <c r="G76" s="32"/>
      <c r="H76" s="32"/>
    </row>
    <row r="77" spans="1:8" s="32" customFormat="1" hidden="1">
      <c r="A77" s="34"/>
      <c r="G77" s="113"/>
    </row>
    <row r="78" spans="1:8" s="205" customFormat="1" ht="12" hidden="1" customHeight="1">
      <c r="A78" s="206"/>
      <c r="B78" s="557"/>
      <c r="C78" s="558"/>
      <c r="D78" s="559"/>
      <c r="E78" s="559"/>
      <c r="F78" s="559"/>
      <c r="G78" s="559"/>
      <c r="H78" s="472"/>
    </row>
    <row r="79" spans="1:8" s="205" customFormat="1" ht="12" hidden="1" customHeight="1">
      <c r="A79" s="206"/>
      <c r="B79" s="557"/>
      <c r="C79" s="473"/>
      <c r="D79" s="473"/>
      <c r="E79" s="473"/>
      <c r="F79" s="473"/>
      <c r="G79" s="473"/>
      <c r="H79" s="472"/>
    </row>
    <row r="80" spans="1:8" hidden="1">
      <c r="A80" s="270"/>
      <c r="B80" s="32"/>
      <c r="C80" s="202"/>
      <c r="D80" s="202"/>
      <c r="E80" s="202"/>
      <c r="F80" s="202"/>
      <c r="G80" s="202"/>
      <c r="H80" s="32"/>
    </row>
    <row r="81" spans="1:8" hidden="1">
      <c r="A81" s="271"/>
      <c r="B81" s="474"/>
      <c r="C81" s="252"/>
      <c r="D81" s="252"/>
      <c r="E81" s="252"/>
      <c r="F81" s="252"/>
      <c r="G81" s="252"/>
      <c r="H81" s="32"/>
    </row>
    <row r="82" spans="1:8" hidden="1">
      <c r="A82" s="270"/>
      <c r="B82" s="32"/>
      <c r="C82" s="203"/>
      <c r="D82" s="203"/>
      <c r="E82" s="203"/>
      <c r="F82" s="203"/>
      <c r="G82" s="203"/>
      <c r="H82" s="32"/>
    </row>
    <row r="83" spans="1:8" hidden="1">
      <c r="A83" s="270"/>
      <c r="B83" s="32"/>
      <c r="C83" s="203"/>
      <c r="D83" s="203"/>
      <c r="E83" s="203"/>
      <c r="F83" s="203"/>
      <c r="G83" s="203"/>
      <c r="H83" s="32"/>
    </row>
    <row r="84" spans="1:8" hidden="1">
      <c r="A84" s="270"/>
      <c r="B84" s="32"/>
      <c r="C84" s="203"/>
      <c r="D84" s="203"/>
      <c r="E84" s="203"/>
      <c r="F84" s="203"/>
      <c r="G84" s="203"/>
      <c r="H84" s="32"/>
    </row>
    <row r="85" spans="1:8" hidden="1">
      <c r="A85" s="270"/>
      <c r="B85" s="32"/>
      <c r="C85" s="203"/>
      <c r="D85" s="203"/>
      <c r="E85" s="203"/>
      <c r="F85" s="203"/>
      <c r="G85" s="203"/>
      <c r="H85" s="32"/>
    </row>
    <row r="86" spans="1:8" hidden="1">
      <c r="A86" s="270"/>
      <c r="B86" s="475"/>
      <c r="C86" s="204"/>
      <c r="D86" s="204"/>
      <c r="E86" s="204"/>
      <c r="F86" s="204"/>
      <c r="G86" s="204"/>
      <c r="H86" s="32"/>
    </row>
    <row r="87" spans="1:8" ht="24" customHeight="1">
      <c r="A87" s="27"/>
      <c r="B87" s="548" t="s">
        <v>338</v>
      </c>
      <c r="C87" s="548"/>
      <c r="D87" s="548"/>
      <c r="E87" s="548"/>
      <c r="F87" s="548"/>
      <c r="G87" s="548"/>
    </row>
    <row r="88" spans="1:8" ht="21.75" customHeight="1">
      <c r="A88" s="27"/>
      <c r="B88" s="543"/>
      <c r="C88" s="543"/>
      <c r="D88" s="543"/>
      <c r="E88" s="543"/>
      <c r="F88" s="543"/>
      <c r="G88" s="543"/>
    </row>
    <row r="89" spans="1:8">
      <c r="A89" s="26" t="s">
        <v>108</v>
      </c>
      <c r="B89" s="1" t="s">
        <v>328</v>
      </c>
      <c r="C89" s="1"/>
      <c r="D89" s="1"/>
      <c r="E89" s="1"/>
      <c r="F89" s="1"/>
      <c r="G89" s="1"/>
    </row>
    <row r="90" spans="1:8">
      <c r="A90" s="27"/>
      <c r="G90" s="113" t="str">
        <f>G64</f>
        <v>Amount in US$ Mn</v>
      </c>
    </row>
    <row r="91" spans="1:8" s="205" customFormat="1" ht="12" customHeight="1">
      <c r="A91" s="206"/>
      <c r="B91" s="555" t="s">
        <v>0</v>
      </c>
      <c r="C91" s="553" t="s">
        <v>1</v>
      </c>
      <c r="D91" s="554"/>
      <c r="E91" s="554"/>
      <c r="F91" s="554"/>
      <c r="G91" s="554"/>
    </row>
    <row r="92" spans="1:8" s="205" customFormat="1" ht="12" customHeight="1">
      <c r="A92" s="206"/>
      <c r="B92" s="555"/>
      <c r="C92" s="201">
        <f>'Trends file-4'!$C$6</f>
        <v>44651</v>
      </c>
      <c r="D92" s="201">
        <f>'Trends file-4'!$D$6</f>
        <v>44561</v>
      </c>
      <c r="E92" s="201">
        <f>'Trends file-4'!$E$6</f>
        <v>44469</v>
      </c>
      <c r="F92" s="201">
        <f>'Trends file-4'!$F$6</f>
        <v>44377</v>
      </c>
      <c r="G92" s="201">
        <f>'Trends file-4'!$G$6</f>
        <v>44286</v>
      </c>
    </row>
    <row r="93" spans="1:8">
      <c r="A93" s="27"/>
      <c r="B93" s="2" t="s">
        <v>96</v>
      </c>
      <c r="C93" s="176">
        <v>159.24360789529439</v>
      </c>
      <c r="D93" s="202">
        <v>161.98521963521648</v>
      </c>
      <c r="E93" s="176">
        <v>154.27028790151164</v>
      </c>
      <c r="F93" s="202">
        <v>152.33862444736647</v>
      </c>
      <c r="G93" s="176">
        <v>145.94867172400387</v>
      </c>
    </row>
    <row r="94" spans="1:8">
      <c r="A94" s="27"/>
      <c r="B94" s="6" t="s">
        <v>97</v>
      </c>
      <c r="C94" s="178">
        <v>29.593733905209319</v>
      </c>
      <c r="D94" s="203">
        <v>28.486152869652265</v>
      </c>
      <c r="E94" s="178">
        <v>28.932351428937817</v>
      </c>
      <c r="F94" s="203">
        <v>27.92568029907931</v>
      </c>
      <c r="G94" s="178">
        <v>28.238837740666334</v>
      </c>
    </row>
    <row r="95" spans="1:8">
      <c r="A95" s="26"/>
      <c r="B95" s="7" t="s">
        <v>139</v>
      </c>
      <c r="C95" s="179">
        <v>188.83734180050371</v>
      </c>
      <c r="D95" s="204">
        <v>190.47137250486875</v>
      </c>
      <c r="E95" s="179">
        <v>183.20263933044944</v>
      </c>
      <c r="F95" s="204">
        <v>180.26430474644579</v>
      </c>
      <c r="G95" s="179">
        <v>174.1875094646702</v>
      </c>
    </row>
    <row r="96" spans="1:8" ht="21.75" hidden="1" customHeight="1">
      <c r="A96" s="27"/>
      <c r="B96" s="549"/>
      <c r="C96" s="549"/>
      <c r="D96" s="549"/>
      <c r="E96" s="549"/>
      <c r="F96" s="549"/>
      <c r="G96" s="549"/>
    </row>
    <row r="97" spans="1:7" hidden="1">
      <c r="A97" s="27"/>
    </row>
    <row r="98" spans="1:7" hidden="1">
      <c r="A98" s="27"/>
      <c r="B98" s="1"/>
    </row>
    <row r="99" spans="1:7" hidden="1">
      <c r="A99" s="27"/>
      <c r="G99" s="113"/>
    </row>
    <row r="100" spans="1:7" s="205" customFormat="1" ht="12" hidden="1" customHeight="1">
      <c r="A100" s="206"/>
      <c r="B100" s="555"/>
      <c r="C100" s="553"/>
      <c r="D100" s="554"/>
      <c r="E100" s="554"/>
      <c r="F100" s="554"/>
      <c r="G100" s="554"/>
    </row>
    <row r="101" spans="1:7" s="205" customFormat="1" ht="12" hidden="1" customHeight="1">
      <c r="A101" s="206"/>
      <c r="B101" s="555"/>
      <c r="C101" s="201"/>
      <c r="D101" s="201"/>
      <c r="E101" s="201"/>
      <c r="F101" s="201"/>
      <c r="G101" s="201"/>
    </row>
    <row r="102" spans="1:7" hidden="1">
      <c r="A102" s="27"/>
      <c r="C102" s="176"/>
      <c r="D102" s="202"/>
      <c r="E102" s="176"/>
      <c r="F102" s="202"/>
      <c r="G102" s="176"/>
    </row>
    <row r="103" spans="1:7" hidden="1">
      <c r="A103" s="27"/>
      <c r="B103" s="6"/>
      <c r="C103" s="178"/>
      <c r="D103" s="203"/>
      <c r="E103" s="178"/>
      <c r="F103" s="203"/>
      <c r="G103" s="178"/>
    </row>
    <row r="104" spans="1:7" hidden="1">
      <c r="A104" s="26"/>
      <c r="B104" s="7"/>
      <c r="C104" s="179"/>
      <c r="D104" s="204"/>
      <c r="E104" s="179"/>
      <c r="F104" s="204"/>
      <c r="G104" s="179"/>
    </row>
    <row r="105" spans="1:7" ht="22.5" customHeight="1">
      <c r="A105" s="27"/>
      <c r="B105" s="548" t="s">
        <v>338</v>
      </c>
      <c r="C105" s="548"/>
      <c r="D105" s="548"/>
      <c r="E105" s="548"/>
      <c r="F105" s="548"/>
      <c r="G105" s="548"/>
    </row>
    <row r="106" spans="1:7" ht="24.75" customHeight="1">
      <c r="A106" s="27"/>
      <c r="B106" s="543"/>
      <c r="C106" s="543"/>
      <c r="D106" s="543"/>
      <c r="E106" s="543"/>
      <c r="F106" s="543"/>
      <c r="G106" s="543"/>
    </row>
    <row r="107" spans="1:7">
      <c r="A107" s="26" t="s">
        <v>129</v>
      </c>
      <c r="B107" s="22" t="s">
        <v>329</v>
      </c>
      <c r="C107" s="1"/>
      <c r="D107" s="1"/>
      <c r="E107" s="1"/>
      <c r="F107" s="1"/>
      <c r="G107" s="1"/>
    </row>
    <row r="108" spans="1:7">
      <c r="A108" s="27"/>
      <c r="G108" s="113" t="str">
        <f>G90</f>
        <v>Amount in US$ Mn</v>
      </c>
    </row>
    <row r="109" spans="1:7" s="205" customFormat="1" ht="12" customHeight="1">
      <c r="A109" s="206"/>
      <c r="B109" s="555" t="s">
        <v>0</v>
      </c>
      <c r="C109" s="553" t="s">
        <v>1</v>
      </c>
      <c r="D109" s="554"/>
      <c r="E109" s="554"/>
      <c r="F109" s="554"/>
      <c r="G109" s="554"/>
    </row>
    <row r="110" spans="1:7" s="205" customFormat="1" ht="12" customHeight="1">
      <c r="A110" s="206"/>
      <c r="B110" s="555"/>
      <c r="C110" s="201">
        <f>'Trends file-4'!$C$6</f>
        <v>44651</v>
      </c>
      <c r="D110" s="201">
        <f>'Trends file-4'!$D$6</f>
        <v>44561</v>
      </c>
      <c r="E110" s="201">
        <f>'Trends file-4'!$E$6</f>
        <v>44469</v>
      </c>
      <c r="F110" s="201">
        <f>'Trends file-4'!$F$6</f>
        <v>44377</v>
      </c>
      <c r="G110" s="201">
        <f>'Trends file-4'!$G$6</f>
        <v>44286</v>
      </c>
    </row>
    <row r="111" spans="1:7">
      <c r="A111" s="27"/>
      <c r="B111" s="2" t="s">
        <v>10</v>
      </c>
      <c r="C111" s="176">
        <v>85.802732964918889</v>
      </c>
      <c r="D111" s="202">
        <v>92.700518779250871</v>
      </c>
      <c r="E111" s="176">
        <v>83.150341318710176</v>
      </c>
      <c r="F111" s="202">
        <v>83.09540041865975</v>
      </c>
      <c r="G111" s="176">
        <v>76.606393308321572</v>
      </c>
    </row>
    <row r="112" spans="1:7" hidden="1" outlineLevel="1">
      <c r="A112" s="27"/>
      <c r="B112" s="78"/>
      <c r="C112" s="178"/>
      <c r="D112" s="203"/>
      <c r="E112" s="178"/>
      <c r="F112" s="203"/>
      <c r="G112" s="178"/>
    </row>
    <row r="113" spans="1:7" collapsed="1">
      <c r="A113" s="27"/>
      <c r="B113" s="6" t="s">
        <v>11</v>
      </c>
      <c r="C113" s="178">
        <v>35.477427047010934</v>
      </c>
      <c r="D113" s="203">
        <v>24.291568261302498</v>
      </c>
      <c r="E113" s="178">
        <v>31.742063903446859</v>
      </c>
      <c r="F113" s="203">
        <v>33.708711190272886</v>
      </c>
      <c r="G113" s="178">
        <v>5.9279350657367118</v>
      </c>
    </row>
    <row r="114" spans="1:7">
      <c r="A114" s="59"/>
      <c r="B114" s="7" t="s">
        <v>31</v>
      </c>
      <c r="C114" s="179">
        <v>121.28016001192982</v>
      </c>
      <c r="D114" s="204">
        <v>117.49208704055337</v>
      </c>
      <c r="E114" s="179">
        <v>115.09240522215704</v>
      </c>
      <c r="F114" s="204">
        <v>116.80411160893263</v>
      </c>
      <c r="G114" s="179">
        <v>82.534328374058276</v>
      </c>
    </row>
    <row r="115" spans="1:7" ht="21.75" hidden="1" customHeight="1">
      <c r="A115" s="27"/>
      <c r="B115" s="549"/>
      <c r="C115" s="549"/>
      <c r="D115" s="549"/>
      <c r="E115" s="549"/>
      <c r="F115" s="549"/>
      <c r="G115" s="549"/>
    </row>
    <row r="116" spans="1:7" ht="11.4" hidden="1">
      <c r="A116" s="27"/>
      <c r="B116" s="18"/>
      <c r="C116" s="18"/>
      <c r="D116" s="18"/>
      <c r="E116" s="18"/>
      <c r="F116" s="199"/>
      <c r="G116" s="199"/>
    </row>
    <row r="117" spans="1:7" ht="11.4" hidden="1">
      <c r="A117" s="27"/>
      <c r="B117" s="22"/>
      <c r="C117" s="18"/>
      <c r="D117" s="18"/>
      <c r="E117" s="18"/>
      <c r="F117" s="18"/>
      <c r="G117" s="18"/>
    </row>
    <row r="118" spans="1:7" hidden="1">
      <c r="A118" s="27"/>
      <c r="G118" s="113"/>
    </row>
    <row r="119" spans="1:7" s="205" customFormat="1" ht="12" hidden="1" customHeight="1">
      <c r="A119" s="206"/>
      <c r="B119" s="555"/>
      <c r="C119" s="553"/>
      <c r="D119" s="554"/>
      <c r="E119" s="554"/>
      <c r="F119" s="554"/>
      <c r="G119" s="554"/>
    </row>
    <row r="120" spans="1:7" s="205" customFormat="1" ht="12" hidden="1" customHeight="1">
      <c r="A120" s="206"/>
      <c r="B120" s="555"/>
      <c r="C120" s="201"/>
      <c r="D120" s="201"/>
      <c r="E120" s="201"/>
      <c r="F120" s="201"/>
      <c r="G120" s="201"/>
    </row>
    <row r="121" spans="1:7" hidden="1">
      <c r="A121" s="27"/>
      <c r="C121" s="176"/>
      <c r="D121" s="202"/>
      <c r="E121" s="176"/>
      <c r="F121" s="202"/>
      <c r="G121" s="176"/>
    </row>
    <row r="122" spans="1:7" hidden="1" outlineLevel="1">
      <c r="A122" s="27"/>
      <c r="B122" s="78"/>
      <c r="C122" s="178"/>
      <c r="D122" s="203"/>
      <c r="E122" s="178"/>
      <c r="F122" s="203"/>
      <c r="G122" s="178"/>
    </row>
    <row r="123" spans="1:7" hidden="1" collapsed="1">
      <c r="A123" s="27"/>
      <c r="B123" s="6"/>
      <c r="C123" s="178"/>
      <c r="D123" s="203"/>
      <c r="E123" s="178"/>
      <c r="F123" s="203"/>
      <c r="G123" s="178"/>
    </row>
    <row r="124" spans="1:7" hidden="1">
      <c r="A124" s="59"/>
      <c r="B124" s="7"/>
      <c r="C124" s="179"/>
      <c r="D124" s="204"/>
      <c r="E124" s="179"/>
      <c r="F124" s="204"/>
      <c r="G124" s="179"/>
    </row>
    <row r="125" spans="1:7" ht="12">
      <c r="A125" s="27"/>
      <c r="B125" s="370" t="s">
        <v>232</v>
      </c>
      <c r="C125" s="18"/>
      <c r="D125" s="18"/>
      <c r="E125" s="18"/>
      <c r="F125" s="199"/>
      <c r="G125" s="199"/>
    </row>
    <row r="126" spans="1:7" ht="12">
      <c r="A126" s="27"/>
      <c r="B126" s="370"/>
      <c r="C126" s="18"/>
      <c r="D126" s="18"/>
      <c r="E126" s="18"/>
      <c r="F126" s="199"/>
      <c r="G126" s="199"/>
    </row>
    <row r="127" spans="1:7" ht="11.4">
      <c r="A127" s="26">
        <v>5.4</v>
      </c>
      <c r="B127" s="1" t="s">
        <v>130</v>
      </c>
      <c r="C127" s="1"/>
      <c r="D127" s="1"/>
      <c r="E127" s="1"/>
      <c r="F127" s="18"/>
      <c r="G127" s="18"/>
    </row>
    <row r="128" spans="1:7" ht="11.4">
      <c r="A128" s="27"/>
      <c r="B128" s="18"/>
      <c r="C128" s="18"/>
      <c r="D128" s="18"/>
      <c r="E128" s="18"/>
      <c r="F128" s="18"/>
      <c r="G128" s="18"/>
    </row>
    <row r="129" spans="1:9">
      <c r="B129" s="1" t="s">
        <v>109</v>
      </c>
      <c r="G129" s="3" t="str">
        <f>'Trends file-4'!G4</f>
        <v>Amount in Rs Mn, except ratios</v>
      </c>
    </row>
    <row r="130" spans="1:9" s="205" customFormat="1" ht="12" customHeight="1">
      <c r="B130" s="540" t="s">
        <v>0</v>
      </c>
      <c r="C130" s="560" t="s">
        <v>1</v>
      </c>
      <c r="D130" s="554"/>
      <c r="E130" s="554"/>
      <c r="F130" s="554"/>
      <c r="G130" s="554"/>
    </row>
    <row r="131" spans="1:9" s="205" customFormat="1" ht="12" customHeight="1">
      <c r="B131" s="561"/>
      <c r="C131" s="201">
        <f>'Trends file-4'!$C$6</f>
        <v>44651</v>
      </c>
      <c r="D131" s="201">
        <f>'Trends file-4'!$D$6</f>
        <v>44561</v>
      </c>
      <c r="E131" s="201">
        <f>'Trends file-4'!$E$6</f>
        <v>44469</v>
      </c>
      <c r="F131" s="201">
        <f>'Trends file-4'!$F$6</f>
        <v>44377</v>
      </c>
      <c r="G131" s="201">
        <f>'Trends file-4'!$G$6</f>
        <v>44286</v>
      </c>
    </row>
    <row r="132" spans="1:9">
      <c r="A132" s="270"/>
      <c r="B132" s="75" t="s">
        <v>54</v>
      </c>
      <c r="C132" s="176">
        <v>424648.43368493707</v>
      </c>
      <c r="D132" s="202">
        <v>416054.18328052398</v>
      </c>
      <c r="E132" s="176">
        <v>404112.98083437409</v>
      </c>
      <c r="F132" s="202">
        <v>450940.85195429908</v>
      </c>
      <c r="G132" s="176">
        <v>421603.394254299</v>
      </c>
      <c r="I132" s="5"/>
    </row>
    <row r="133" spans="1:9" ht="20.399999999999999">
      <c r="A133" s="270"/>
      <c r="B133" s="75" t="s">
        <v>55</v>
      </c>
      <c r="C133" s="177">
        <v>193794.66113182803</v>
      </c>
      <c r="D133" s="252">
        <v>155841.98987815782</v>
      </c>
      <c r="E133" s="177">
        <v>155988.81264884211</v>
      </c>
      <c r="F133" s="252">
        <v>116313.92957465601</v>
      </c>
      <c r="G133" s="177">
        <v>192302.97884906013</v>
      </c>
      <c r="I133" s="5"/>
    </row>
    <row r="134" spans="1:9">
      <c r="A134" s="270"/>
      <c r="B134" s="75" t="s">
        <v>122</v>
      </c>
      <c r="C134" s="178">
        <v>709205.00989600003</v>
      </c>
      <c r="D134" s="203">
        <v>758628.81674799998</v>
      </c>
      <c r="E134" s="178">
        <v>892938.81925399997</v>
      </c>
      <c r="F134" s="203">
        <v>788049.92293699982</v>
      </c>
      <c r="G134" s="178">
        <v>681930.79793699982</v>
      </c>
      <c r="I134" s="5"/>
    </row>
    <row r="135" spans="1:9" ht="11.25" hidden="1" customHeight="1" outlineLevel="1">
      <c r="A135" s="270"/>
      <c r="B135" s="75"/>
      <c r="C135" s="178">
        <v>0</v>
      </c>
      <c r="D135" s="203">
        <v>0</v>
      </c>
      <c r="E135" s="178">
        <v>0</v>
      </c>
      <c r="F135" s="203">
        <v>0</v>
      </c>
      <c r="G135" s="178">
        <v>0</v>
      </c>
      <c r="I135" s="5"/>
    </row>
    <row r="136" spans="1:9" collapsed="1">
      <c r="A136" s="270"/>
      <c r="B136" s="76" t="s">
        <v>56</v>
      </c>
      <c r="C136" s="178"/>
      <c r="D136" s="203"/>
      <c r="E136" s="178"/>
      <c r="F136" s="203"/>
      <c r="G136" s="178"/>
      <c r="I136" s="5"/>
    </row>
    <row r="137" spans="1:9">
      <c r="A137" s="270"/>
      <c r="B137" s="74" t="s">
        <v>197</v>
      </c>
      <c r="C137" s="142">
        <v>60959.85860379201</v>
      </c>
      <c r="D137" s="162">
        <v>73015.206727081008</v>
      </c>
      <c r="E137" s="142">
        <v>61707.549737683992</v>
      </c>
      <c r="F137" s="162">
        <v>84917.419019453009</v>
      </c>
      <c r="G137" s="142">
        <v>80860.459439112004</v>
      </c>
      <c r="I137" s="5"/>
    </row>
    <row r="138" spans="1:9" hidden="1" outlineLevel="1">
      <c r="A138" s="270"/>
      <c r="B138" s="74"/>
      <c r="C138" s="142"/>
      <c r="D138" s="162"/>
      <c r="E138" s="142"/>
      <c r="F138" s="162"/>
      <c r="G138" s="142"/>
      <c r="I138" s="5"/>
    </row>
    <row r="139" spans="1:9" ht="11.25" hidden="1" customHeight="1" outlineLevel="1">
      <c r="A139" s="270"/>
      <c r="B139" s="74"/>
      <c r="C139" s="178"/>
      <c r="D139" s="203"/>
      <c r="E139" s="178"/>
      <c r="F139" s="203"/>
      <c r="G139" s="178"/>
      <c r="I139" s="5"/>
    </row>
    <row r="140" spans="1:9" collapsed="1">
      <c r="A140" s="270"/>
      <c r="B140" s="74" t="s">
        <v>308</v>
      </c>
      <c r="C140" s="178">
        <v>31249.409020999989</v>
      </c>
      <c r="D140" s="203">
        <v>18435.894724875005</v>
      </c>
      <c r="E140" s="178">
        <v>77920.712867659968</v>
      </c>
      <c r="F140" s="203">
        <v>5270.0990014699937</v>
      </c>
      <c r="G140" s="178">
        <v>59852.862415721</v>
      </c>
      <c r="I140" s="5"/>
    </row>
    <row r="141" spans="1:9" ht="11.25" hidden="1" customHeight="1" outlineLevel="1">
      <c r="A141" s="270"/>
      <c r="B141" s="273"/>
      <c r="C141" s="178"/>
      <c r="D141" s="203"/>
      <c r="E141" s="178"/>
      <c r="F141" s="203"/>
      <c r="G141" s="178"/>
      <c r="I141" s="5"/>
    </row>
    <row r="142" spans="1:9" collapsed="1">
      <c r="A142" s="27"/>
      <c r="B142" s="76" t="s">
        <v>305</v>
      </c>
      <c r="C142" s="141">
        <v>1235438.8370879733</v>
      </c>
      <c r="D142" s="230">
        <v>1239073.8884547257</v>
      </c>
      <c r="E142" s="141">
        <v>1313412.3501318721</v>
      </c>
      <c r="F142" s="230">
        <v>1265117.186445032</v>
      </c>
      <c r="G142" s="141">
        <v>1155123.8491855259</v>
      </c>
      <c r="I142" s="5"/>
    </row>
    <row r="143" spans="1:9">
      <c r="A143" s="27"/>
      <c r="B143" s="74" t="s">
        <v>307</v>
      </c>
      <c r="C143" s="142">
        <v>367634.03774451703</v>
      </c>
      <c r="D143" s="162">
        <v>352346.28986856603</v>
      </c>
      <c r="E143" s="142">
        <v>348981.30943195801</v>
      </c>
      <c r="F143" s="162">
        <v>331104.049264259</v>
      </c>
      <c r="G143" s="142">
        <v>329952.619482012</v>
      </c>
      <c r="I143" s="5"/>
    </row>
    <row r="144" spans="1:9">
      <c r="A144" s="27"/>
      <c r="B144" s="274" t="s">
        <v>306</v>
      </c>
      <c r="C144" s="181">
        <v>1603072.8748324902</v>
      </c>
      <c r="D144" s="253">
        <v>1591420.1783232917</v>
      </c>
      <c r="E144" s="181">
        <v>1662393.6595638301</v>
      </c>
      <c r="F144" s="253">
        <v>1596221.235709291</v>
      </c>
      <c r="G144" s="181">
        <v>1485076.4686675379</v>
      </c>
      <c r="I144" s="5"/>
    </row>
    <row r="145" spans="1:9" s="276" customFormat="1" ht="27" customHeight="1">
      <c r="B145" s="543"/>
      <c r="C145" s="543"/>
      <c r="D145" s="543"/>
      <c r="E145" s="543"/>
      <c r="F145" s="543"/>
      <c r="G145" s="543"/>
      <c r="I145" s="278"/>
    </row>
    <row r="146" spans="1:9" s="276" customFormat="1">
      <c r="B146" s="275"/>
      <c r="C146" s="277"/>
      <c r="D146" s="277"/>
      <c r="E146" s="277"/>
      <c r="F146" s="277"/>
      <c r="G146" s="277"/>
      <c r="I146" s="278"/>
    </row>
    <row r="147" spans="1:9">
      <c r="B147" s="81"/>
      <c r="C147" s="81"/>
      <c r="D147" s="81"/>
      <c r="E147" s="81"/>
      <c r="F147" s="23"/>
      <c r="G147" s="23"/>
    </row>
    <row r="148" spans="1:9">
      <c r="B148" s="1" t="s">
        <v>110</v>
      </c>
      <c r="G148" s="113" t="str">
        <f>G108</f>
        <v>Amount in US$ Mn</v>
      </c>
    </row>
    <row r="149" spans="1:9" s="205" customFormat="1" ht="12" customHeight="1">
      <c r="B149" s="540" t="s">
        <v>0</v>
      </c>
      <c r="C149" s="560" t="s">
        <v>1</v>
      </c>
      <c r="D149" s="554"/>
      <c r="E149" s="554"/>
      <c r="F149" s="554"/>
      <c r="G149" s="554"/>
    </row>
    <row r="150" spans="1:9" s="205" customFormat="1" ht="12" customHeight="1">
      <c r="B150" s="561"/>
      <c r="C150" s="201">
        <f>'Trends file-4'!$C$6</f>
        <v>44651</v>
      </c>
      <c r="D150" s="201">
        <f>'Trends file-4'!$D$6</f>
        <v>44561</v>
      </c>
      <c r="E150" s="201">
        <f>'Trends file-4'!$E$6</f>
        <v>44469</v>
      </c>
      <c r="F150" s="201">
        <f>'Trends file-4'!$F$6</f>
        <v>44377</v>
      </c>
      <c r="G150" s="201">
        <f>'Trends file-4'!$G$6</f>
        <v>44286</v>
      </c>
    </row>
    <row r="151" spans="1:9">
      <c r="A151" s="270"/>
      <c r="B151" s="75" t="s">
        <v>54</v>
      </c>
      <c r="C151" s="176">
        <v>5593.7355421845095</v>
      </c>
      <c r="D151" s="202">
        <v>5590.9989018413489</v>
      </c>
      <c r="E151" s="176">
        <v>5449.7553128265945</v>
      </c>
      <c r="F151" s="202">
        <v>6075.3230307079702</v>
      </c>
      <c r="G151" s="176">
        <v>5745.089517671172</v>
      </c>
    </row>
    <row r="152" spans="1:9" ht="20.399999999999999">
      <c r="A152" s="270"/>
      <c r="B152" s="75" t="s">
        <v>55</v>
      </c>
      <c r="C152" s="178">
        <v>2552.7848400425214</v>
      </c>
      <c r="D152" s="203">
        <v>2094.2281781651254</v>
      </c>
      <c r="E152" s="178">
        <v>2103.621761219677</v>
      </c>
      <c r="F152" s="203">
        <v>1567.0451946737085</v>
      </c>
      <c r="G152" s="178">
        <v>2620.467109750768</v>
      </c>
    </row>
    <row r="153" spans="1:9">
      <c r="A153" s="270"/>
      <c r="B153" s="75" t="s">
        <v>122</v>
      </c>
      <c r="C153" s="178">
        <v>9342.0932608311923</v>
      </c>
      <c r="D153" s="203">
        <v>10194.568524464152</v>
      </c>
      <c r="E153" s="178">
        <v>12041.924672182326</v>
      </c>
      <c r="F153" s="203">
        <v>10617.041737110136</v>
      </c>
      <c r="G153" s="178">
        <v>9292.5093402875209</v>
      </c>
    </row>
    <row r="154" spans="1:9" ht="11.25" hidden="1" customHeight="1" outlineLevel="1">
      <c r="A154" s="270"/>
      <c r="B154" s="75"/>
      <c r="C154" s="178"/>
      <c r="D154" s="203"/>
      <c r="E154" s="178"/>
      <c r="F154" s="203"/>
      <c r="G154" s="178"/>
    </row>
    <row r="155" spans="1:9" collapsed="1">
      <c r="A155" s="270"/>
      <c r="B155" s="76" t="s">
        <v>56</v>
      </c>
      <c r="C155" s="178"/>
      <c r="D155" s="203"/>
      <c r="E155" s="178"/>
      <c r="F155" s="203"/>
      <c r="G155" s="178"/>
    </row>
    <row r="156" spans="1:9">
      <c r="A156" s="270"/>
      <c r="B156" s="74" t="s">
        <v>197</v>
      </c>
      <c r="C156" s="142">
        <v>803.00149646040973</v>
      </c>
      <c r="D156" s="162">
        <v>981.18936675510315</v>
      </c>
      <c r="E156" s="142">
        <v>832.17086056011578</v>
      </c>
      <c r="F156" s="162">
        <v>1144.0541464392456</v>
      </c>
      <c r="G156" s="142">
        <v>1101.8663138122504</v>
      </c>
    </row>
    <row r="157" spans="1:9" hidden="1" outlineLevel="1">
      <c r="A157" s="270"/>
      <c r="B157" s="74"/>
      <c r="C157" s="142"/>
      <c r="D157" s="162"/>
      <c r="E157" s="142"/>
      <c r="F157" s="162"/>
      <c r="G157" s="142"/>
    </row>
    <row r="158" spans="1:9" ht="11.25" hidden="1" customHeight="1" outlineLevel="1">
      <c r="A158" s="270"/>
      <c r="B158" s="74"/>
      <c r="C158" s="178"/>
      <c r="D158" s="203"/>
      <c r="E158" s="178"/>
      <c r="F158" s="203"/>
      <c r="G158" s="178"/>
    </row>
    <row r="159" spans="1:9" collapsed="1">
      <c r="A159" s="270"/>
      <c r="B159" s="74" t="s">
        <v>308</v>
      </c>
      <c r="C159" s="178">
        <v>411.63681776987403</v>
      </c>
      <c r="D159" s="203">
        <v>247.74433548175776</v>
      </c>
      <c r="E159" s="178">
        <v>1050.8170711393407</v>
      </c>
      <c r="F159" s="203">
        <v>71.001670615964898</v>
      </c>
      <c r="G159" s="178">
        <v>815.60076876365736</v>
      </c>
    </row>
    <row r="160" spans="1:9" ht="11.25" hidden="1" customHeight="1" outlineLevel="1">
      <c r="A160" s="270"/>
      <c r="B160" s="273"/>
      <c r="C160" s="178"/>
      <c r="D160" s="203"/>
      <c r="E160" s="178"/>
      <c r="F160" s="203"/>
      <c r="G160" s="178"/>
    </row>
    <row r="161" spans="1:9" collapsed="1">
      <c r="A161" s="270"/>
      <c r="B161" s="76" t="s">
        <v>261</v>
      </c>
      <c r="C161" s="141">
        <v>16273.975328827939</v>
      </c>
      <c r="D161" s="230">
        <v>16650.861902233766</v>
      </c>
      <c r="E161" s="141">
        <v>17712.313814529141</v>
      </c>
      <c r="F161" s="230">
        <v>17044.354145436606</v>
      </c>
      <c r="G161" s="141">
        <v>15740.598885133551</v>
      </c>
    </row>
    <row r="162" spans="1:9">
      <c r="A162" s="270"/>
      <c r="B162" s="74" t="s">
        <v>233</v>
      </c>
      <c r="C162" s="142">
        <v>4842.7061548378715</v>
      </c>
      <c r="D162" s="162">
        <v>4734.8826159855671</v>
      </c>
      <c r="E162" s="142">
        <v>4706.2649193480729</v>
      </c>
      <c r="F162" s="162">
        <v>4460.8157529708187</v>
      </c>
      <c r="G162" s="142">
        <v>4496.1861345235675</v>
      </c>
    </row>
    <row r="163" spans="1:9" ht="20.399999999999999">
      <c r="A163" s="270"/>
      <c r="B163" s="274" t="s">
        <v>234</v>
      </c>
      <c r="C163" s="181">
        <v>21116.681483665809</v>
      </c>
      <c r="D163" s="253">
        <v>21385.744518219333</v>
      </c>
      <c r="E163" s="181">
        <v>22418.578733877213</v>
      </c>
      <c r="F163" s="253">
        <v>21505.169898407425</v>
      </c>
      <c r="G163" s="181">
        <v>20236.78501965712</v>
      </c>
    </row>
    <row r="164" spans="1:9" s="276" customFormat="1" ht="24.75" customHeight="1">
      <c r="A164" s="270"/>
      <c r="B164" s="543"/>
      <c r="C164" s="543"/>
      <c r="D164" s="543"/>
      <c r="E164" s="543"/>
      <c r="F164" s="543"/>
      <c r="G164" s="543"/>
      <c r="I164" s="278"/>
    </row>
    <row r="165" spans="1:9" s="276" customFormat="1">
      <c r="B165" s="275"/>
      <c r="C165" s="277"/>
      <c r="D165" s="277"/>
      <c r="E165" s="277"/>
      <c r="F165" s="277"/>
      <c r="G165" s="277"/>
      <c r="I165" s="278"/>
    </row>
    <row r="167" spans="1:9">
      <c r="A167" s="26">
        <v>5.5</v>
      </c>
      <c r="B167" s="1" t="s">
        <v>131</v>
      </c>
      <c r="C167" s="1"/>
      <c r="D167" s="1"/>
      <c r="E167" s="1"/>
      <c r="G167" s="85"/>
    </row>
    <row r="168" spans="1:9">
      <c r="G168" s="469" t="s">
        <v>192</v>
      </c>
    </row>
    <row r="169" spans="1:9" s="205" customFormat="1" ht="12" customHeight="1">
      <c r="B169" s="562" t="s">
        <v>0</v>
      </c>
      <c r="C169" s="553" t="s">
        <v>1</v>
      </c>
      <c r="D169" s="554"/>
      <c r="E169" s="554"/>
      <c r="F169" s="554"/>
      <c r="G169" s="554"/>
    </row>
    <row r="170" spans="1:9" s="205" customFormat="1" ht="12" customHeight="1">
      <c r="A170" s="270"/>
      <c r="B170" s="562"/>
      <c r="C170" s="201">
        <f>'Trends file-4'!$C$6</f>
        <v>44651</v>
      </c>
      <c r="D170" s="201">
        <f>'Trends file-4'!$D$6</f>
        <v>44561</v>
      </c>
      <c r="E170" s="201">
        <f>'Trends file-4'!$E$6</f>
        <v>44469</v>
      </c>
      <c r="F170" s="201">
        <f>'Trends file-4'!$F$6</f>
        <v>44377</v>
      </c>
      <c r="G170" s="201">
        <f>'Trends file-4'!$G$6</f>
        <v>44286</v>
      </c>
    </row>
    <row r="171" spans="1:9">
      <c r="A171" s="270"/>
      <c r="B171" s="169" t="s">
        <v>98</v>
      </c>
      <c r="C171" s="173">
        <v>30349.940922629998</v>
      </c>
      <c r="D171" s="245">
        <v>33478.490223867993</v>
      </c>
      <c r="E171" s="173">
        <v>31823.157074057999</v>
      </c>
      <c r="F171" s="245">
        <v>32505.199401760998</v>
      </c>
      <c r="G171" s="173">
        <v>30658</v>
      </c>
    </row>
    <row r="172" spans="1:9">
      <c r="A172" s="270"/>
      <c r="B172" s="169" t="s">
        <v>186</v>
      </c>
      <c r="C172" s="142">
        <v>7543.4535783420006</v>
      </c>
      <c r="D172" s="162">
        <v>7474.0766590030007</v>
      </c>
      <c r="E172" s="142">
        <v>7576.667943428999</v>
      </c>
      <c r="F172" s="162">
        <v>7267.7124885479998</v>
      </c>
      <c r="G172" s="142">
        <v>7177.0000000000009</v>
      </c>
    </row>
    <row r="173" spans="1:9">
      <c r="A173" s="270"/>
      <c r="B173" s="169" t="s">
        <v>99</v>
      </c>
      <c r="C173" s="178">
        <v>2312.0723043550042</v>
      </c>
      <c r="D173" s="203">
        <v>3584.2359278230006</v>
      </c>
      <c r="E173" s="178">
        <v>1597.8808147479988</v>
      </c>
      <c r="F173" s="203">
        <v>1630.6849965259992</v>
      </c>
      <c r="G173" s="178">
        <v>1296</v>
      </c>
    </row>
    <row r="174" spans="1:9">
      <c r="A174" s="270"/>
      <c r="B174" s="169" t="s">
        <v>100</v>
      </c>
      <c r="C174" s="178">
        <v>-1224.9693464039992</v>
      </c>
      <c r="D174" s="203">
        <v>-945.25232414400045</v>
      </c>
      <c r="E174" s="178">
        <v>-552.74018624600001</v>
      </c>
      <c r="F174" s="203">
        <v>-585.49151437499984</v>
      </c>
      <c r="G174" s="178">
        <v>-545</v>
      </c>
    </row>
    <row r="175" spans="1:9">
      <c r="A175" s="270"/>
      <c r="B175" s="180" t="s">
        <v>9</v>
      </c>
      <c r="C175" s="181">
        <v>38980.497458923004</v>
      </c>
      <c r="D175" s="253">
        <v>43591.550486549997</v>
      </c>
      <c r="E175" s="181">
        <v>40444.965645988996</v>
      </c>
      <c r="F175" s="253">
        <v>40818.105372459999</v>
      </c>
      <c r="G175" s="181">
        <v>38586</v>
      </c>
    </row>
    <row r="176" spans="1:9" ht="20.25" customHeight="1">
      <c r="B176" s="543"/>
      <c r="C176" s="543"/>
      <c r="D176" s="543"/>
      <c r="E176" s="543"/>
      <c r="F176" s="543"/>
      <c r="G176" s="543"/>
    </row>
  </sheetData>
  <mergeCells count="44">
    <mergeCell ref="H60:I60"/>
    <mergeCell ref="B106:G106"/>
    <mergeCell ref="B145:G145"/>
    <mergeCell ref="B164:G164"/>
    <mergeCell ref="C109:G109"/>
    <mergeCell ref="B109:B110"/>
    <mergeCell ref="B115:G115"/>
    <mergeCell ref="B105:G105"/>
    <mergeCell ref="B87:G87"/>
    <mergeCell ref="B96:G96"/>
    <mergeCell ref="B100:B101"/>
    <mergeCell ref="C100:G100"/>
    <mergeCell ref="B176:G176"/>
    <mergeCell ref="C119:G119"/>
    <mergeCell ref="C169:G169"/>
    <mergeCell ref="C149:G149"/>
    <mergeCell ref="C130:G130"/>
    <mergeCell ref="B149:B150"/>
    <mergeCell ref="B169:B170"/>
    <mergeCell ref="B130:B131"/>
    <mergeCell ref="B119:B120"/>
    <mergeCell ref="B26:G26"/>
    <mergeCell ref="B52:G52"/>
    <mergeCell ref="B88:G88"/>
    <mergeCell ref="B65:B66"/>
    <mergeCell ref="B91:B92"/>
    <mergeCell ref="B74:G74"/>
    <mergeCell ref="B29:B30"/>
    <mergeCell ref="B78:B79"/>
    <mergeCell ref="C78:G78"/>
    <mergeCell ref="B43:B44"/>
    <mergeCell ref="B60:G60"/>
    <mergeCell ref="B35:G35"/>
    <mergeCell ref="C91:G91"/>
    <mergeCell ref="C65:G65"/>
    <mergeCell ref="C29:G29"/>
    <mergeCell ref="C21:G21"/>
    <mergeCell ref="C9:G9"/>
    <mergeCell ref="B18:G18"/>
    <mergeCell ref="B9:B10"/>
    <mergeCell ref="B21:B22"/>
    <mergeCell ref="C43:G43"/>
    <mergeCell ref="B55:B56"/>
    <mergeCell ref="C55:G55"/>
  </mergeCells>
  <phoneticPr fontId="3" type="noConversion"/>
  <hyperlinks>
    <hyperlink ref="A1" location="Cover!E6" display="INDEX"/>
  </hyperlinks>
  <pageMargins left="0.23" right="0.23" top="1" bottom="1" header="0.5" footer="0.5"/>
  <pageSetup paperSize="9" scale="60" fitToHeight="2" orientation="portrait" r:id="rId1"/>
  <headerFooter alignWithMargins="0">
    <oddFooter>Page &amp;P of &amp;N</oddFooter>
  </headerFooter>
  <rowBreaks count="1" manualBreakCount="1">
    <brk id="88" max="7" man="1"/>
  </rowBreaks>
  <colBreaks count="1" manualBreakCount="1">
    <brk id="8" max="1048575" man="1"/>
  </colBreaks>
  <ignoredErrors>
    <ignoredError sqref="A1:I4 A150:I150 A149:I149 A90:I92 A19:I19 B11:B17 A27:I27 B23:B25 B31:B32 A169:I169 A168:F168 A61:I62 H168:I168 B67:B73 H67:I73 A105 B93:B95 H93:I95 A127:I128 B111 H111:I114 A147:I148 B132:B136 H132:I142 A166:I167 A154:B155 H151:I161 B173:B175 B171 B109:I110 B151:B153 B170:I170 A65:I66 A64:F64 H64:I64 A145:A146 C146:I146 B141 A164:A165 C165:I165 B160 A63 C63:I63 A89 C89:I89 A108:I108 A107 C107:I107 A36:I38 B34 B113:B114 A10:B10 A9:I9 A8:F8 H8:I8 A21:I22 A20:F20 H20:I20 A29:I30 A28:F28 H28:I28 A130:I131 A129:F129 H129:I129 A26 H23:I26 H145:I145 H164:I164 A176 H171:I176 A6:I7 A5 C5:I5 A35 H31:I35 H10:I18 B75:XFD75 J61:XFD73 A97:XFD97 J89:XFD95 J107:XFD114 H105:XFD105 J127:XFD142 J145:XFD161 J164:XFD1048576 J1:XFD38 A177:I1048576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4"/>
  <sheetViews>
    <sheetView showGridLines="0" view="pageBreakPreview" topLeftCell="C153" zoomScaleNormal="100" zoomScaleSheetLayoutView="100" workbookViewId="0">
      <selection activeCell="J159" sqref="J159"/>
    </sheetView>
  </sheetViews>
  <sheetFormatPr defaultColWidth="9.109375" defaultRowHeight="13.2" outlineLevelRow="1"/>
  <cols>
    <col min="1" max="1" width="40.109375" style="36" customWidth="1"/>
    <col min="2" max="2" width="9.109375" style="35"/>
    <col min="3" max="7" width="11.44140625" style="35" bestFit="1" customWidth="1"/>
    <col min="8" max="8" width="2" style="36" customWidth="1"/>
    <col min="9" max="16384" width="9.109375" style="36"/>
  </cols>
  <sheetData>
    <row r="1" spans="1:9" ht="13.8">
      <c r="A1" s="263" t="s">
        <v>13</v>
      </c>
      <c r="F1" s="54">
        <f>1000</f>
        <v>1000</v>
      </c>
    </row>
    <row r="3" spans="1:9">
      <c r="A3" s="22" t="s">
        <v>63</v>
      </c>
    </row>
    <row r="5" spans="1:9">
      <c r="A5" s="168" t="s">
        <v>19</v>
      </c>
      <c r="B5" s="168" t="s">
        <v>20</v>
      </c>
      <c r="C5" s="201">
        <f>'Trends file-5-SCH'!C10</f>
        <v>44651</v>
      </c>
      <c r="D5" s="201">
        <f>'Trends file-5-SCH'!D10</f>
        <v>44561</v>
      </c>
      <c r="E5" s="201">
        <f>'Trends file-5-SCH'!E10</f>
        <v>44469</v>
      </c>
      <c r="F5" s="201">
        <f>'Trends file-5-SCH'!F10</f>
        <v>44377</v>
      </c>
      <c r="G5" s="201">
        <f>'Trends file-5-SCH'!G10</f>
        <v>44286</v>
      </c>
    </row>
    <row r="6" spans="1:9">
      <c r="A6" s="24"/>
      <c r="B6" s="153"/>
      <c r="C6" s="140"/>
      <c r="D6" s="156"/>
      <c r="E6" s="140"/>
      <c r="F6" s="156"/>
      <c r="G6" s="140"/>
    </row>
    <row r="7" spans="1:9">
      <c r="A7" s="24" t="s">
        <v>53</v>
      </c>
      <c r="B7" s="154" t="s">
        <v>21</v>
      </c>
      <c r="C7" s="141">
        <v>359903.56800000003</v>
      </c>
      <c r="D7" s="230">
        <v>355872.90899999999</v>
      </c>
      <c r="E7" s="141">
        <v>354510.56400000001</v>
      </c>
      <c r="F7" s="230">
        <v>350866.93777722592</v>
      </c>
      <c r="G7" s="141">
        <v>350304.38677722582</v>
      </c>
      <c r="I7" s="86"/>
    </row>
    <row r="8" spans="1:9">
      <c r="A8" s="28"/>
      <c r="B8" s="29"/>
      <c r="C8" s="142"/>
      <c r="D8" s="162"/>
      <c r="E8" s="142"/>
      <c r="F8" s="162"/>
      <c r="G8" s="142"/>
      <c r="I8" s="86"/>
    </row>
    <row r="9" spans="1:9">
      <c r="A9" s="24" t="s">
        <v>26</v>
      </c>
      <c r="B9" s="29"/>
      <c r="C9" s="142"/>
      <c r="D9" s="162"/>
      <c r="E9" s="142"/>
      <c r="F9" s="162"/>
      <c r="G9" s="142"/>
      <c r="I9" s="86"/>
    </row>
    <row r="10" spans="1:9">
      <c r="A10" s="53" t="s">
        <v>82</v>
      </c>
      <c r="B10" s="29" t="s">
        <v>21</v>
      </c>
      <c r="C10" s="142">
        <v>326043.25400000002</v>
      </c>
      <c r="D10" s="162">
        <v>322917.59299999999</v>
      </c>
      <c r="E10" s="142">
        <v>323476.46799999999</v>
      </c>
      <c r="F10" s="162">
        <v>321238.12300000002</v>
      </c>
      <c r="G10" s="142">
        <v>321373.51</v>
      </c>
      <c r="I10" s="86"/>
    </row>
    <row r="11" spans="1:9" hidden="1" outlineLevel="1">
      <c r="A11" s="115"/>
      <c r="B11" s="29"/>
      <c r="C11" s="142"/>
      <c r="D11" s="162"/>
      <c r="E11" s="142"/>
      <c r="F11" s="162"/>
      <c r="G11" s="142"/>
      <c r="I11" s="86"/>
    </row>
    <row r="12" spans="1:9" collapsed="1">
      <c r="A12" s="53" t="s">
        <v>43</v>
      </c>
      <c r="B12" s="29" t="s">
        <v>21</v>
      </c>
      <c r="C12" s="142">
        <v>3125.6610000000001</v>
      </c>
      <c r="D12" s="162">
        <v>-558.875</v>
      </c>
      <c r="E12" s="142">
        <v>2238.3449999999998</v>
      </c>
      <c r="F12" s="162">
        <v>-135.387</v>
      </c>
      <c r="G12" s="142">
        <v>13425.924000000001</v>
      </c>
      <c r="I12" s="86"/>
    </row>
    <row r="13" spans="1:9">
      <c r="A13" s="116" t="s">
        <v>104</v>
      </c>
      <c r="B13" s="29" t="s">
        <v>23</v>
      </c>
      <c r="C13" s="143">
        <v>0.94539226381294794</v>
      </c>
      <c r="D13" s="160">
        <v>0.94551318546462715</v>
      </c>
      <c r="E13" s="143">
        <v>0.94659874918629316</v>
      </c>
      <c r="F13" s="160">
        <v>0.94732225166189254</v>
      </c>
      <c r="G13" s="143">
        <v>0.94824440259559661</v>
      </c>
      <c r="I13" s="86"/>
    </row>
    <row r="14" spans="1:9" ht="12.75" customHeight="1">
      <c r="A14" s="117" t="s">
        <v>44</v>
      </c>
      <c r="B14" s="29" t="s">
        <v>23</v>
      </c>
      <c r="C14" s="144">
        <v>2.8139047305883378E-2</v>
      </c>
      <c r="D14" s="218">
        <v>2.9222072874068385E-2</v>
      </c>
      <c r="E14" s="144">
        <v>3.003817675318576E-2</v>
      </c>
      <c r="F14" s="218">
        <v>2.7981353441882999E-2</v>
      </c>
      <c r="G14" s="144">
        <v>2.2472762762234481E-2</v>
      </c>
      <c r="I14" s="86"/>
    </row>
    <row r="15" spans="1:9" ht="4.6500000000000004" customHeight="1">
      <c r="A15" s="117"/>
      <c r="B15" s="29"/>
      <c r="C15" s="144"/>
      <c r="D15" s="218"/>
      <c r="E15" s="144"/>
      <c r="F15" s="218"/>
      <c r="G15" s="144"/>
      <c r="I15" s="86"/>
    </row>
    <row r="16" spans="1:9">
      <c r="A16" s="77" t="s">
        <v>78</v>
      </c>
      <c r="B16" s="128" t="s">
        <v>36</v>
      </c>
      <c r="C16" s="147">
        <v>178.25447578771332</v>
      </c>
      <c r="D16" s="220">
        <v>162.60632641835261</v>
      </c>
      <c r="E16" s="147">
        <v>153.43462925896728</v>
      </c>
      <c r="F16" s="220">
        <v>146.13668411047527</v>
      </c>
      <c r="G16" s="147">
        <v>145.21147435476252</v>
      </c>
      <c r="I16" s="86"/>
    </row>
    <row r="17" spans="1:9">
      <c r="A17" s="77" t="s">
        <v>78</v>
      </c>
      <c r="B17" s="128" t="s">
        <v>121</v>
      </c>
      <c r="C17" s="145">
        <v>2.3714038596179239</v>
      </c>
      <c r="D17" s="219">
        <v>2.1773866317994446</v>
      </c>
      <c r="E17" s="145">
        <v>2.0719126670165671</v>
      </c>
      <c r="F17" s="219">
        <v>1.9905788044152504</v>
      </c>
      <c r="G17" s="145">
        <v>1.9822062499370372</v>
      </c>
      <c r="I17" s="86"/>
    </row>
    <row r="18" spans="1:9">
      <c r="A18" s="506" t="s">
        <v>335</v>
      </c>
      <c r="B18" s="128" t="s">
        <v>36</v>
      </c>
      <c r="C18" s="142">
        <v>178.25447578771332</v>
      </c>
      <c r="D18" s="162">
        <v>162.51053851995107</v>
      </c>
      <c r="E18" s="142">
        <v>153.43462925896728</v>
      </c>
      <c r="F18" s="162">
        <v>146.13668411047527</v>
      </c>
      <c r="G18" s="142">
        <v>145.21147435476252</v>
      </c>
      <c r="I18" s="86"/>
    </row>
    <row r="19" spans="1:9">
      <c r="A19" s="116" t="s">
        <v>94</v>
      </c>
      <c r="B19" s="128" t="s">
        <v>36</v>
      </c>
      <c r="C19" s="142">
        <v>246442.29215681661</v>
      </c>
      <c r="D19" s="162">
        <v>232009.60430902522</v>
      </c>
      <c r="E19" s="142">
        <v>224223.76717738531</v>
      </c>
      <c r="F19" s="162">
        <v>214416.25437842391</v>
      </c>
      <c r="G19" s="142">
        <v>215408.55898336167</v>
      </c>
      <c r="I19" s="86"/>
    </row>
    <row r="20" spans="1:9" ht="12.75" customHeight="1">
      <c r="A20" s="507" t="s">
        <v>336</v>
      </c>
      <c r="B20" s="128" t="s">
        <v>36</v>
      </c>
      <c r="C20" s="142">
        <v>246442.29215681661</v>
      </c>
      <c r="D20" s="162">
        <v>232009.60430902522</v>
      </c>
      <c r="E20" s="142">
        <v>224223.76717738531</v>
      </c>
      <c r="F20" s="162">
        <v>214416.25437842391</v>
      </c>
      <c r="G20" s="142">
        <v>215408.55898336167</v>
      </c>
      <c r="I20" s="86"/>
    </row>
    <row r="21" spans="1:9" hidden="1">
      <c r="A21" s="120"/>
      <c r="B21" s="29"/>
      <c r="C21" s="145"/>
      <c r="D21" s="219"/>
      <c r="E21" s="145"/>
      <c r="F21" s="219"/>
      <c r="G21" s="145"/>
      <c r="I21" s="86"/>
    </row>
    <row r="22" spans="1:9" hidden="1">
      <c r="A22" s="267"/>
      <c r="B22" s="29"/>
      <c r="C22" s="142"/>
      <c r="D22" s="162"/>
      <c r="E22" s="142"/>
      <c r="F22" s="162"/>
      <c r="G22" s="142"/>
      <c r="I22" s="86"/>
    </row>
    <row r="23" spans="1:9" hidden="1">
      <c r="A23" s="121"/>
      <c r="B23" s="29"/>
      <c r="C23" s="142"/>
      <c r="D23" s="162"/>
      <c r="E23" s="142"/>
      <c r="F23" s="162"/>
      <c r="G23" s="142"/>
      <c r="I23" s="86"/>
    </row>
    <row r="24" spans="1:9" hidden="1">
      <c r="A24" s="121"/>
      <c r="B24" s="29"/>
      <c r="C24" s="142"/>
      <c r="D24" s="162"/>
      <c r="E24" s="142"/>
      <c r="F24" s="162"/>
      <c r="G24" s="142"/>
      <c r="I24" s="86"/>
    </row>
    <row r="25" spans="1:9" ht="4.6500000000000004" customHeight="1">
      <c r="A25" s="40"/>
      <c r="B25" s="29"/>
      <c r="C25" s="147"/>
      <c r="D25" s="220"/>
      <c r="E25" s="147"/>
      <c r="F25" s="220"/>
      <c r="G25" s="147"/>
      <c r="I25" s="86"/>
    </row>
    <row r="26" spans="1:9">
      <c r="A26" s="120" t="s">
        <v>83</v>
      </c>
      <c r="B26" s="29"/>
      <c r="C26" s="145"/>
      <c r="D26" s="219"/>
      <c r="E26" s="145"/>
      <c r="F26" s="219"/>
      <c r="G26" s="145"/>
      <c r="I26" s="86"/>
    </row>
    <row r="27" spans="1:9">
      <c r="A27" s="121" t="s">
        <v>92</v>
      </c>
      <c r="B27" s="29" t="s">
        <v>88</v>
      </c>
      <c r="C27" s="142">
        <v>1051115.67247249</v>
      </c>
      <c r="D27" s="162">
        <v>1029802.1366506601</v>
      </c>
      <c r="E27" s="142">
        <v>1020414.6202869101</v>
      </c>
      <c r="F27" s="162">
        <v>1002263.30378045</v>
      </c>
      <c r="G27" s="142">
        <v>996793.09685994009</v>
      </c>
      <c r="I27" s="86"/>
    </row>
    <row r="28" spans="1:9" hidden="1">
      <c r="A28" s="119"/>
      <c r="B28" s="29"/>
      <c r="C28" s="142"/>
      <c r="D28" s="162"/>
      <c r="E28" s="142"/>
      <c r="F28" s="162"/>
      <c r="G28" s="142"/>
      <c r="I28" s="86"/>
    </row>
    <row r="29" spans="1:9">
      <c r="A29" s="119" t="s">
        <v>95</v>
      </c>
      <c r="B29" s="29" t="s">
        <v>89</v>
      </c>
      <c r="C29" s="142">
        <v>1082.7037308418614</v>
      </c>
      <c r="D29" s="162">
        <v>1060.6729294535237</v>
      </c>
      <c r="E29" s="142">
        <v>1052.8949213927979</v>
      </c>
      <c r="F29" s="162">
        <v>1043.9879869451122</v>
      </c>
      <c r="G29" s="142">
        <v>1052.7979559041944</v>
      </c>
      <c r="I29" s="86"/>
    </row>
    <row r="30" spans="1:9" hidden="1">
      <c r="A30" s="119"/>
      <c r="B30" s="29"/>
      <c r="C30" s="234"/>
      <c r="D30" s="235"/>
      <c r="E30" s="234"/>
      <c r="F30" s="235"/>
      <c r="G30" s="234"/>
      <c r="I30" s="86"/>
    </row>
    <row r="31" spans="1:9" ht="4.6500000000000004" customHeight="1">
      <c r="A31" s="40"/>
      <c r="B31" s="29"/>
      <c r="C31" s="147"/>
      <c r="D31" s="220"/>
      <c r="E31" s="147"/>
      <c r="F31" s="220"/>
      <c r="G31" s="147"/>
      <c r="I31" s="86"/>
    </row>
    <row r="32" spans="1:9" hidden="1">
      <c r="A32" s="120"/>
      <c r="B32" s="29"/>
      <c r="C32" s="145"/>
      <c r="D32" s="219"/>
      <c r="E32" s="145"/>
      <c r="F32" s="219"/>
      <c r="G32" s="145"/>
      <c r="I32" s="86"/>
    </row>
    <row r="33" spans="1:9" hidden="1">
      <c r="A33" s="121"/>
      <c r="B33" s="29"/>
      <c r="C33" s="148"/>
      <c r="D33" s="231"/>
      <c r="E33" s="148"/>
      <c r="F33" s="231"/>
      <c r="G33" s="148"/>
      <c r="I33" s="86"/>
    </row>
    <row r="34" spans="1:9" hidden="1">
      <c r="A34" s="40"/>
      <c r="B34" s="29"/>
      <c r="C34" s="149"/>
      <c r="D34" s="232"/>
      <c r="E34" s="149"/>
      <c r="F34" s="232"/>
      <c r="G34" s="149"/>
      <c r="I34" s="86"/>
    </row>
    <row r="35" spans="1:9" hidden="1">
      <c r="A35" s="118"/>
      <c r="B35" s="29"/>
      <c r="C35" s="142"/>
      <c r="D35" s="162"/>
      <c r="E35" s="142"/>
      <c r="F35" s="162"/>
      <c r="G35" s="142"/>
      <c r="I35" s="86"/>
    </row>
    <row r="36" spans="1:9" hidden="1">
      <c r="A36" s="121"/>
      <c r="B36" s="29"/>
      <c r="C36" s="143"/>
      <c r="D36" s="160"/>
      <c r="E36" s="143"/>
      <c r="F36" s="160"/>
      <c r="G36" s="143"/>
      <c r="I36" s="86"/>
    </row>
    <row r="37" spans="1:9" hidden="1">
      <c r="A37" s="121"/>
      <c r="B37" s="29"/>
      <c r="C37" s="143"/>
      <c r="D37" s="160"/>
      <c r="E37" s="143"/>
      <c r="F37" s="160"/>
      <c r="G37" s="143"/>
      <c r="I37" s="86"/>
    </row>
    <row r="38" spans="1:9" hidden="1">
      <c r="A38" s="121"/>
      <c r="B38" s="29"/>
      <c r="C38" s="143"/>
      <c r="D38" s="160"/>
      <c r="E38" s="143"/>
      <c r="F38" s="160"/>
      <c r="G38" s="143"/>
      <c r="I38" s="86"/>
    </row>
    <row r="39" spans="1:9" hidden="1">
      <c r="A39" s="121"/>
      <c r="B39" s="29"/>
      <c r="C39" s="142"/>
      <c r="D39" s="162"/>
      <c r="E39" s="142"/>
      <c r="F39" s="162"/>
      <c r="G39" s="142"/>
      <c r="I39" s="86"/>
    </row>
    <row r="40" spans="1:9">
      <c r="A40" s="118" t="s">
        <v>84</v>
      </c>
      <c r="B40" s="29"/>
      <c r="C40" s="142"/>
      <c r="D40" s="162"/>
      <c r="E40" s="142"/>
      <c r="F40" s="162"/>
      <c r="G40" s="142"/>
      <c r="I40" s="86"/>
    </row>
    <row r="41" spans="1:9">
      <c r="A41" s="122" t="s">
        <v>85</v>
      </c>
      <c r="B41" s="29" t="s">
        <v>21</v>
      </c>
      <c r="C41" s="142">
        <v>208448.42800000001</v>
      </c>
      <c r="D41" s="162">
        <v>202950.639</v>
      </c>
      <c r="E41" s="142">
        <v>200027.10199999998</v>
      </c>
      <c r="F41" s="162">
        <v>192934.93200000003</v>
      </c>
      <c r="G41" s="142">
        <v>188635.40700000004</v>
      </c>
      <c r="I41" s="86"/>
    </row>
    <row r="42" spans="1:9" s="129" customFormat="1" ht="15">
      <c r="A42" s="124" t="s">
        <v>279</v>
      </c>
      <c r="B42" s="155" t="s">
        <v>21</v>
      </c>
      <c r="C42" s="157">
        <v>200786.277</v>
      </c>
      <c r="D42" s="225">
        <v>195540.68199999997</v>
      </c>
      <c r="E42" s="157">
        <v>192538.56100000002</v>
      </c>
      <c r="F42" s="225">
        <v>184426.82500000001</v>
      </c>
      <c r="G42" s="157">
        <v>179292.94400000002</v>
      </c>
      <c r="I42" s="130"/>
    </row>
    <row r="43" spans="1:9">
      <c r="A43" s="123" t="s">
        <v>86</v>
      </c>
      <c r="B43" s="29" t="s">
        <v>23</v>
      </c>
      <c r="C43" s="152">
        <v>0.63932752922408265</v>
      </c>
      <c r="D43" s="233">
        <v>0.62849049850312744</v>
      </c>
      <c r="E43" s="152">
        <v>0.61836678023824587</v>
      </c>
      <c r="F43" s="233">
        <v>0.60059786864088993</v>
      </c>
      <c r="G43" s="152">
        <v>0.58696625929125279</v>
      </c>
      <c r="I43" s="86"/>
    </row>
    <row r="44" spans="1:9">
      <c r="A44" s="122" t="s">
        <v>87</v>
      </c>
      <c r="B44" s="29" t="s">
        <v>90</v>
      </c>
      <c r="C44" s="142">
        <v>11849333.770498659</v>
      </c>
      <c r="D44" s="162">
        <v>11311779.776500579</v>
      </c>
      <c r="E44" s="142">
        <v>11270769.342128672</v>
      </c>
      <c r="F44" s="162">
        <v>10771051.277578101</v>
      </c>
      <c r="G44" s="142">
        <v>9207030.3380598594</v>
      </c>
      <c r="I44" s="86"/>
    </row>
    <row r="45" spans="1:9" hidden="1">
      <c r="A45" s="125"/>
      <c r="B45" s="29"/>
      <c r="C45" s="142"/>
      <c r="D45" s="162"/>
      <c r="E45" s="142"/>
      <c r="F45" s="162"/>
      <c r="G45" s="142"/>
      <c r="I45" s="86"/>
    </row>
    <row r="46" spans="1:9">
      <c r="A46" s="122" t="s">
        <v>93</v>
      </c>
      <c r="B46" s="29" t="s">
        <v>91</v>
      </c>
      <c r="C46" s="142">
        <v>19228.494497609328</v>
      </c>
      <c r="D46" s="162">
        <v>18726.723195261704</v>
      </c>
      <c r="E46" s="142">
        <v>19065.719683267158</v>
      </c>
      <c r="F46" s="162">
        <v>18931.596321990804</v>
      </c>
      <c r="G46" s="142">
        <v>16839.763214394759</v>
      </c>
      <c r="I46" s="86"/>
    </row>
    <row r="47" spans="1:9">
      <c r="A47" s="122"/>
      <c r="B47" s="29"/>
      <c r="C47" s="236"/>
      <c r="D47" s="237"/>
      <c r="E47" s="236"/>
      <c r="F47" s="237"/>
      <c r="G47" s="236"/>
      <c r="I47" s="86"/>
    </row>
    <row r="48" spans="1:9">
      <c r="A48" s="28"/>
      <c r="B48" s="29"/>
      <c r="C48" s="143"/>
      <c r="D48" s="160"/>
      <c r="E48" s="143"/>
      <c r="F48" s="160"/>
      <c r="G48" s="143"/>
      <c r="I48" s="86"/>
    </row>
    <row r="49" spans="1:9">
      <c r="A49" s="24" t="s">
        <v>184</v>
      </c>
      <c r="B49" s="29"/>
      <c r="C49" s="143"/>
      <c r="D49" s="160"/>
      <c r="E49" s="143"/>
      <c r="F49" s="160"/>
      <c r="G49" s="143"/>
      <c r="I49" s="86"/>
    </row>
    <row r="50" spans="1:9">
      <c r="A50" s="55" t="s">
        <v>153</v>
      </c>
      <c r="B50" s="29" t="s">
        <v>21</v>
      </c>
      <c r="C50" s="150">
        <v>4482.8513430000003</v>
      </c>
      <c r="D50" s="158">
        <v>4160.1123430000007</v>
      </c>
      <c r="E50" s="150">
        <v>3819.0793430000003</v>
      </c>
      <c r="F50" s="158">
        <v>3351.71034427311</v>
      </c>
      <c r="G50" s="150">
        <v>3066.5153442731098</v>
      </c>
      <c r="H50" s="70"/>
      <c r="I50" s="86"/>
    </row>
    <row r="51" spans="1:9" hidden="1">
      <c r="A51" s="139"/>
      <c r="B51" s="155"/>
      <c r="C51" s="151"/>
      <c r="D51" s="159"/>
      <c r="E51" s="151"/>
      <c r="F51" s="159"/>
      <c r="G51" s="151"/>
      <c r="H51" s="70"/>
      <c r="I51" s="86"/>
    </row>
    <row r="52" spans="1:9" hidden="1">
      <c r="A52" s="139"/>
      <c r="B52" s="155"/>
      <c r="C52" s="143"/>
      <c r="D52" s="160"/>
      <c r="E52" s="143"/>
      <c r="F52" s="160"/>
      <c r="G52" s="143"/>
      <c r="H52" s="70"/>
      <c r="I52" s="86"/>
    </row>
    <row r="53" spans="1:9">
      <c r="A53" s="28" t="s">
        <v>43</v>
      </c>
      <c r="B53" s="29" t="s">
        <v>21</v>
      </c>
      <c r="C53" s="150">
        <v>322.73899999999952</v>
      </c>
      <c r="D53" s="158">
        <v>341.03300000000047</v>
      </c>
      <c r="E53" s="150">
        <v>467.36899872689042</v>
      </c>
      <c r="F53" s="158">
        <v>285.19499999999999</v>
      </c>
      <c r="G53" s="150">
        <v>273.52</v>
      </c>
      <c r="I53" s="86"/>
    </row>
    <row r="54" spans="1:9">
      <c r="A54" s="28" t="s">
        <v>24</v>
      </c>
      <c r="B54" s="29" t="s">
        <v>36</v>
      </c>
      <c r="C54" s="150">
        <v>650.21633953722414</v>
      </c>
      <c r="D54" s="158">
        <v>656.98565938326908</v>
      </c>
      <c r="E54" s="150">
        <v>661.12382030512049</v>
      </c>
      <c r="F54" s="158">
        <v>681.35662442589137</v>
      </c>
      <c r="G54" s="150">
        <v>684.06609120693895</v>
      </c>
      <c r="I54" s="86"/>
    </row>
    <row r="55" spans="1:9">
      <c r="A55" s="103" t="s">
        <v>24</v>
      </c>
      <c r="B55" s="29" t="s">
        <v>121</v>
      </c>
      <c r="C55" s="146">
        <v>8.6501364431461489</v>
      </c>
      <c r="D55" s="161">
        <v>8.7973932105486536</v>
      </c>
      <c r="E55" s="146">
        <v>8.9275206279843662</v>
      </c>
      <c r="F55" s="161">
        <v>9.2809965073846961</v>
      </c>
      <c r="G55" s="146">
        <v>9.3378301362582512</v>
      </c>
      <c r="I55" s="86"/>
    </row>
    <row r="56" spans="1:9" hidden="1">
      <c r="A56" s="81"/>
      <c r="B56" s="29"/>
      <c r="C56" s="143"/>
      <c r="D56" s="160"/>
      <c r="E56" s="143"/>
      <c r="F56" s="160"/>
      <c r="G56" s="143"/>
      <c r="I56" s="86"/>
    </row>
    <row r="57" spans="1:9">
      <c r="A57" s="32"/>
      <c r="B57" s="29"/>
      <c r="C57" s="142"/>
      <c r="D57" s="162"/>
      <c r="E57" s="142"/>
      <c r="F57" s="162"/>
      <c r="G57" s="142"/>
      <c r="I57" s="86"/>
    </row>
    <row r="58" spans="1:9">
      <c r="A58" s="104" t="s">
        <v>75</v>
      </c>
      <c r="B58" s="59"/>
      <c r="C58" s="152"/>
      <c r="D58" s="233"/>
      <c r="E58" s="152"/>
      <c r="F58" s="233"/>
      <c r="G58" s="152"/>
      <c r="I58" s="86"/>
    </row>
    <row r="59" spans="1:9">
      <c r="A59" s="77" t="s">
        <v>76</v>
      </c>
      <c r="B59" s="105" t="s">
        <v>21</v>
      </c>
      <c r="C59" s="150">
        <v>17558.239000000001</v>
      </c>
      <c r="D59" s="158">
        <v>18066.136999999999</v>
      </c>
      <c r="E59" s="150">
        <v>17987.347000000002</v>
      </c>
      <c r="F59" s="158">
        <v>17998.513777225882</v>
      </c>
      <c r="G59" s="150">
        <v>17716.126777225883</v>
      </c>
      <c r="I59" s="86"/>
    </row>
    <row r="60" spans="1:9">
      <c r="A60" s="77" t="s">
        <v>77</v>
      </c>
      <c r="B60" s="105" t="s">
        <v>21</v>
      </c>
      <c r="C60" s="150">
        <v>-507.89800000000002</v>
      </c>
      <c r="D60" s="158">
        <v>78.790000000000006</v>
      </c>
      <c r="E60" s="150">
        <v>-11.166777225881814</v>
      </c>
      <c r="F60" s="158">
        <v>282.387</v>
      </c>
      <c r="G60" s="150">
        <v>-156.13980722959712</v>
      </c>
      <c r="I60" s="86"/>
    </row>
    <row r="61" spans="1:9">
      <c r="A61" s="77" t="s">
        <v>309</v>
      </c>
      <c r="B61" s="106" t="s">
        <v>36</v>
      </c>
      <c r="C61" s="150">
        <v>141.73458747850034</v>
      </c>
      <c r="D61" s="158">
        <v>145.98991833253771</v>
      </c>
      <c r="E61" s="150">
        <v>147.79084893238726</v>
      </c>
      <c r="F61" s="158">
        <v>150.73213838392522</v>
      </c>
      <c r="G61" s="150">
        <v>143.83367944917575</v>
      </c>
      <c r="I61" s="86"/>
    </row>
    <row r="62" spans="1:9">
      <c r="A62" s="77" t="s">
        <v>78</v>
      </c>
      <c r="B62" s="106" t="s">
        <v>121</v>
      </c>
      <c r="C62" s="146">
        <v>1.8855624595264009</v>
      </c>
      <c r="D62" s="161">
        <v>1.9548839430572305</v>
      </c>
      <c r="E62" s="146">
        <v>1.9957015795653514</v>
      </c>
      <c r="F62" s="161">
        <v>2.0531750917819021</v>
      </c>
      <c r="G62" s="146">
        <v>1.9633986888601949</v>
      </c>
      <c r="I62" s="86"/>
    </row>
    <row r="63" spans="1:9">
      <c r="A63" s="77" t="s">
        <v>44</v>
      </c>
      <c r="B63" s="106" t="s">
        <v>23</v>
      </c>
      <c r="C63" s="143">
        <v>2.1251352683499924E-2</v>
      </c>
      <c r="D63" s="160">
        <v>2.0534765361169882E-2</v>
      </c>
      <c r="E63" s="143">
        <v>2.165757983695692E-2</v>
      </c>
      <c r="F63" s="160">
        <v>1.3584786904713658E-2</v>
      </c>
      <c r="G63" s="143">
        <v>2.1582760014622115E-2</v>
      </c>
      <c r="I63" s="86"/>
    </row>
    <row r="64" spans="1:9" ht="12.75" hidden="1" customHeight="1">
      <c r="A64" s="77"/>
      <c r="B64" s="106"/>
      <c r="C64" s="143"/>
      <c r="D64" s="160"/>
      <c r="E64" s="143"/>
      <c r="F64" s="160"/>
      <c r="G64" s="143"/>
      <c r="I64" s="86"/>
    </row>
    <row r="65" spans="1:9" ht="14.25" hidden="1" customHeight="1">
      <c r="A65" s="12"/>
      <c r="B65" s="106"/>
      <c r="C65" s="143"/>
      <c r="D65" s="160"/>
      <c r="E65" s="143"/>
      <c r="F65" s="160"/>
      <c r="G65" s="143"/>
      <c r="I65" s="86"/>
    </row>
    <row r="66" spans="1:9">
      <c r="A66" s="107"/>
      <c r="B66" s="108"/>
      <c r="C66" s="320"/>
      <c r="D66" s="321"/>
      <c r="E66" s="320"/>
      <c r="F66" s="321"/>
      <c r="G66" s="320"/>
      <c r="I66" s="86"/>
    </row>
    <row r="67" spans="1:9" ht="12.75" customHeight="1">
      <c r="A67" s="468"/>
      <c r="B67" s="266"/>
      <c r="C67" s="266"/>
      <c r="D67" s="266"/>
      <c r="E67" s="266"/>
      <c r="F67" s="266"/>
      <c r="G67" s="266"/>
    </row>
    <row r="68" spans="1:9">
      <c r="A68" s="468"/>
    </row>
    <row r="69" spans="1:9">
      <c r="A69" s="468"/>
    </row>
    <row r="70" spans="1:9" ht="12.75" hidden="1" customHeight="1">
      <c r="A70" s="22"/>
    </row>
    <row r="71" spans="1:9" ht="12.75" hidden="1" customHeight="1">
      <c r="A71" s="195"/>
      <c r="B71" s="168"/>
      <c r="C71" s="201"/>
      <c r="D71" s="201"/>
      <c r="E71" s="201"/>
      <c r="F71" s="201"/>
      <c r="G71" s="201"/>
    </row>
    <row r="72" spans="1:9" ht="12.75" hidden="1" customHeight="1">
      <c r="A72" s="53"/>
      <c r="B72" s="59"/>
      <c r="C72" s="183"/>
      <c r="D72" s="254"/>
      <c r="E72" s="183"/>
      <c r="F72" s="254"/>
      <c r="G72" s="183"/>
      <c r="I72" s="86"/>
    </row>
    <row r="73" spans="1:9" ht="12.75" hidden="1" customHeight="1">
      <c r="A73" s="56"/>
      <c r="B73" s="59"/>
      <c r="C73" s="184"/>
      <c r="D73" s="255"/>
      <c r="E73" s="184"/>
      <c r="F73" s="255"/>
      <c r="G73" s="184"/>
      <c r="I73" s="86"/>
    </row>
    <row r="74" spans="1:9" ht="12.75" hidden="1" customHeight="1">
      <c r="A74" s="56"/>
      <c r="B74" s="59"/>
      <c r="C74" s="184"/>
      <c r="D74" s="255"/>
      <c r="E74" s="184"/>
      <c r="F74" s="255"/>
      <c r="G74" s="184"/>
      <c r="I74" s="86"/>
    </row>
    <row r="75" spans="1:9" ht="12.75" hidden="1" customHeight="1">
      <c r="A75" s="53"/>
      <c r="B75" s="59"/>
      <c r="C75" s="184"/>
      <c r="D75" s="255"/>
      <c r="E75" s="184"/>
      <c r="F75" s="255"/>
      <c r="G75" s="184"/>
      <c r="I75" s="86"/>
    </row>
    <row r="76" spans="1:9" ht="12.75" hidden="1" customHeight="1">
      <c r="A76" s="53"/>
      <c r="B76" s="59"/>
      <c r="C76" s="184"/>
      <c r="D76" s="255"/>
      <c r="E76" s="184"/>
      <c r="F76" s="255"/>
      <c r="G76" s="184"/>
      <c r="I76" s="86"/>
    </row>
    <row r="77" spans="1:9" ht="12.75" hidden="1" customHeight="1">
      <c r="A77" s="57"/>
      <c r="B77" s="26"/>
      <c r="C77" s="185"/>
      <c r="D77" s="256"/>
      <c r="E77" s="185"/>
      <c r="F77" s="256"/>
      <c r="G77" s="185"/>
      <c r="I77" s="86"/>
    </row>
    <row r="78" spans="1:9" ht="12.75" hidden="1" customHeight="1">
      <c r="A78" s="53"/>
      <c r="B78" s="59"/>
      <c r="C78" s="184"/>
      <c r="D78" s="255"/>
      <c r="E78" s="184"/>
      <c r="F78" s="255"/>
      <c r="G78" s="184"/>
      <c r="I78" s="86"/>
    </row>
    <row r="79" spans="1:9" ht="12.75" hidden="1" customHeight="1">
      <c r="A79" s="58"/>
      <c r="B79" s="60"/>
      <c r="C79" s="182"/>
      <c r="D79" s="257"/>
      <c r="E79" s="182"/>
      <c r="F79" s="257"/>
      <c r="G79" s="182"/>
      <c r="I79" s="86"/>
    </row>
    <row r="80" spans="1:9" ht="12.75" hidden="1" customHeight="1">
      <c r="A80" s="37"/>
      <c r="B80" s="41"/>
      <c r="C80" s="41"/>
      <c r="D80" s="41"/>
      <c r="E80" s="41"/>
      <c r="F80" s="41"/>
      <c r="G80" s="41"/>
    </row>
    <row r="81" spans="1:9">
      <c r="A81" s="37"/>
      <c r="B81" s="41"/>
      <c r="C81" s="41"/>
      <c r="D81" s="41"/>
      <c r="E81" s="41"/>
      <c r="F81" s="41"/>
      <c r="G81" s="41"/>
    </row>
    <row r="82" spans="1:9">
      <c r="A82" s="195" t="s">
        <v>19</v>
      </c>
      <c r="B82" s="168" t="s">
        <v>20</v>
      </c>
      <c r="C82" s="201">
        <f>C5</f>
        <v>44651</v>
      </c>
      <c r="D82" s="201">
        <f t="shared" ref="D82:G82" si="0">D5</f>
        <v>44561</v>
      </c>
      <c r="E82" s="201">
        <f t="shared" si="0"/>
        <v>44469</v>
      </c>
      <c r="F82" s="201">
        <f t="shared" si="0"/>
        <v>44377</v>
      </c>
      <c r="G82" s="201">
        <f t="shared" si="0"/>
        <v>44286</v>
      </c>
    </row>
    <row r="83" spans="1:9">
      <c r="A83" s="71" t="s">
        <v>26</v>
      </c>
      <c r="B83" s="186"/>
      <c r="C83" s="190"/>
      <c r="D83" s="258"/>
      <c r="E83" s="190"/>
      <c r="F83" s="258"/>
      <c r="G83" s="190"/>
    </row>
    <row r="84" spans="1:9">
      <c r="A84" s="72" t="s">
        <v>27</v>
      </c>
      <c r="B84" s="187" t="s">
        <v>45</v>
      </c>
      <c r="C84" s="142">
        <v>7913</v>
      </c>
      <c r="D84" s="162">
        <v>7913</v>
      </c>
      <c r="E84" s="142">
        <v>7913</v>
      </c>
      <c r="F84" s="162">
        <v>7913</v>
      </c>
      <c r="G84" s="142">
        <v>7907</v>
      </c>
      <c r="I84" s="86"/>
    </row>
    <row r="85" spans="1:9">
      <c r="A85" s="72" t="s">
        <v>46</v>
      </c>
      <c r="B85" s="187" t="s">
        <v>45</v>
      </c>
      <c r="C85" s="142">
        <v>795126</v>
      </c>
      <c r="D85" s="162">
        <v>794484</v>
      </c>
      <c r="E85" s="142">
        <v>793591</v>
      </c>
      <c r="F85" s="162">
        <v>793350</v>
      </c>
      <c r="G85" s="142">
        <v>792827</v>
      </c>
      <c r="I85" s="86"/>
    </row>
    <row r="86" spans="1:9">
      <c r="A86" s="72" t="s">
        <v>28</v>
      </c>
      <c r="B86" s="187" t="s">
        <v>23</v>
      </c>
      <c r="C86" s="149">
        <v>0.9565540434495291</v>
      </c>
      <c r="D86" s="232">
        <v>0.95633170411366275</v>
      </c>
      <c r="E86" s="149">
        <v>0.95562185032215452</v>
      </c>
      <c r="F86" s="232">
        <v>0.95526100528663482</v>
      </c>
      <c r="G86" s="149">
        <v>0.9547629770361804</v>
      </c>
      <c r="I86" s="86"/>
    </row>
    <row r="87" spans="1:9">
      <c r="A87" s="72" t="s">
        <v>29</v>
      </c>
      <c r="B87" s="188" t="s">
        <v>52</v>
      </c>
      <c r="C87" s="142">
        <v>355079</v>
      </c>
      <c r="D87" s="162">
        <v>346243</v>
      </c>
      <c r="E87" s="142">
        <v>340690</v>
      </c>
      <c r="F87" s="162">
        <v>332542</v>
      </c>
      <c r="G87" s="142">
        <v>324825</v>
      </c>
      <c r="I87" s="86"/>
    </row>
    <row r="88" spans="1:9">
      <c r="A88" s="72" t="s">
        <v>141</v>
      </c>
      <c r="B88" s="187" t="s">
        <v>45</v>
      </c>
      <c r="C88" s="142">
        <v>237577</v>
      </c>
      <c r="D88" s="162">
        <v>230562</v>
      </c>
      <c r="E88" s="142">
        <v>222812</v>
      </c>
      <c r="F88" s="162">
        <v>219310</v>
      </c>
      <c r="G88" s="142">
        <v>216901</v>
      </c>
      <c r="I88" s="86"/>
    </row>
    <row r="89" spans="1:9">
      <c r="A89" s="131" t="s">
        <v>142</v>
      </c>
      <c r="B89" s="189" t="s">
        <v>45</v>
      </c>
      <c r="C89" s="157">
        <v>236882</v>
      </c>
      <c r="D89" s="225">
        <v>229823</v>
      </c>
      <c r="E89" s="157">
        <v>221979</v>
      </c>
      <c r="F89" s="225">
        <v>218328</v>
      </c>
      <c r="G89" s="157">
        <v>215801</v>
      </c>
      <c r="I89" s="86"/>
    </row>
    <row r="90" spans="1:9">
      <c r="A90" s="72" t="s">
        <v>143</v>
      </c>
      <c r="B90" s="187" t="s">
        <v>45</v>
      </c>
      <c r="C90" s="142">
        <v>752136</v>
      </c>
      <c r="D90" s="162">
        <v>748335</v>
      </c>
      <c r="E90" s="142">
        <v>717534</v>
      </c>
      <c r="F90" s="162">
        <v>661750</v>
      </c>
      <c r="G90" s="142">
        <v>606783</v>
      </c>
      <c r="I90" s="86"/>
    </row>
    <row r="91" spans="1:9" ht="1.5" customHeight="1">
      <c r="A91" s="73"/>
      <c r="B91" s="187"/>
      <c r="C91" s="191">
        <v>0</v>
      </c>
      <c r="D91" s="259">
        <v>0</v>
      </c>
      <c r="E91" s="191">
        <v>0</v>
      </c>
      <c r="F91" s="259">
        <v>0</v>
      </c>
      <c r="G91" s="191">
        <v>0</v>
      </c>
    </row>
    <row r="92" spans="1:9">
      <c r="A92" s="72" t="s">
        <v>185</v>
      </c>
      <c r="B92" s="187" t="s">
        <v>45</v>
      </c>
      <c r="C92" s="142">
        <v>847</v>
      </c>
      <c r="D92" s="162">
        <v>672</v>
      </c>
      <c r="E92" s="142">
        <v>523</v>
      </c>
      <c r="F92" s="162">
        <v>387</v>
      </c>
      <c r="G92" s="142">
        <v>291</v>
      </c>
      <c r="I92" s="86"/>
    </row>
    <row r="93" spans="1:9" ht="1.5" customHeight="1">
      <c r="A93" s="73"/>
      <c r="B93" s="187"/>
      <c r="C93" s="191">
        <v>0</v>
      </c>
      <c r="D93" s="259">
        <v>0</v>
      </c>
      <c r="E93" s="191">
        <v>0</v>
      </c>
      <c r="F93" s="259">
        <v>0</v>
      </c>
      <c r="G93" s="191">
        <v>0</v>
      </c>
    </row>
    <row r="94" spans="1:9">
      <c r="A94" s="72" t="s">
        <v>144</v>
      </c>
      <c r="B94" s="188" t="s">
        <v>45</v>
      </c>
      <c r="C94" s="184">
        <v>7</v>
      </c>
      <c r="D94" s="255">
        <v>7</v>
      </c>
      <c r="E94" s="184">
        <v>7</v>
      </c>
      <c r="F94" s="255">
        <v>7</v>
      </c>
      <c r="G94" s="184">
        <v>7</v>
      </c>
      <c r="I94" s="86"/>
    </row>
    <row r="95" spans="1:9" ht="1.5" customHeight="1">
      <c r="A95" s="73"/>
      <c r="B95" s="187"/>
      <c r="C95" s="191"/>
      <c r="D95" s="259"/>
      <c r="E95" s="191"/>
      <c r="F95" s="259"/>
      <c r="G95" s="191"/>
    </row>
    <row r="96" spans="1:9">
      <c r="A96" s="57" t="s">
        <v>75</v>
      </c>
      <c r="B96" s="59"/>
      <c r="C96" s="142"/>
      <c r="D96" s="162"/>
      <c r="E96" s="142"/>
      <c r="F96" s="162"/>
      <c r="G96" s="142"/>
      <c r="I96" s="86"/>
    </row>
    <row r="97" spans="1:9">
      <c r="A97" s="53" t="s">
        <v>79</v>
      </c>
      <c r="B97" s="59" t="s">
        <v>45</v>
      </c>
      <c r="C97" s="142">
        <v>639</v>
      </c>
      <c r="D97" s="162">
        <v>639</v>
      </c>
      <c r="E97" s="142">
        <v>639</v>
      </c>
      <c r="F97" s="162">
        <v>639</v>
      </c>
      <c r="G97" s="142">
        <v>639</v>
      </c>
      <c r="I97" s="86"/>
    </row>
    <row r="98" spans="1:9">
      <c r="A98" s="109" t="s">
        <v>81</v>
      </c>
      <c r="B98" s="110" t="s">
        <v>23</v>
      </c>
      <c r="C98" s="465">
        <v>0.99843749999999998</v>
      </c>
      <c r="D98" s="466">
        <v>0.99843749999999998</v>
      </c>
      <c r="E98" s="465">
        <v>0.99843749999999998</v>
      </c>
      <c r="F98" s="466">
        <v>0.99843749999999998</v>
      </c>
      <c r="G98" s="465">
        <v>0.99843749999999998</v>
      </c>
      <c r="I98" s="86"/>
    </row>
    <row r="99" spans="1:9">
      <c r="A99" s="55"/>
    </row>
    <row r="100" spans="1:9" hidden="1">
      <c r="A100" s="24" t="s">
        <v>59</v>
      </c>
    </row>
    <row r="101" spans="1:9" hidden="1">
      <c r="A101" s="195" t="s">
        <v>19</v>
      </c>
      <c r="B101" s="168" t="s">
        <v>20</v>
      </c>
      <c r="C101" s="201">
        <f>C82</f>
        <v>44651</v>
      </c>
      <c r="D101" s="201">
        <f>D82</f>
        <v>44561</v>
      </c>
      <c r="E101" s="201">
        <f>E82</f>
        <v>44469</v>
      </c>
      <c r="F101" s="201">
        <f>F82</f>
        <v>44377</v>
      </c>
      <c r="G101" s="201">
        <f>G82</f>
        <v>44286</v>
      </c>
    </row>
    <row r="102" spans="1:9" hidden="1">
      <c r="A102" s="55" t="s">
        <v>114</v>
      </c>
      <c r="B102" s="29" t="s">
        <v>22</v>
      </c>
      <c r="C102" s="192"/>
      <c r="D102" s="227"/>
      <c r="E102" s="192"/>
      <c r="F102" s="227"/>
      <c r="G102" s="192"/>
      <c r="I102" s="86"/>
    </row>
    <row r="103" spans="1:9" hidden="1">
      <c r="A103" s="55" t="s">
        <v>115</v>
      </c>
      <c r="B103" s="29" t="s">
        <v>22</v>
      </c>
      <c r="C103" s="193"/>
      <c r="D103" s="228"/>
      <c r="E103" s="193"/>
      <c r="F103" s="228"/>
      <c r="G103" s="193"/>
      <c r="I103" s="86"/>
    </row>
    <row r="104" spans="1:9" hidden="1">
      <c r="A104" s="24" t="s">
        <v>33</v>
      </c>
      <c r="B104" s="29"/>
      <c r="C104" s="193"/>
      <c r="D104" s="228"/>
      <c r="E104" s="193"/>
      <c r="F104" s="228"/>
      <c r="G104" s="193"/>
    </row>
    <row r="105" spans="1:9" hidden="1">
      <c r="A105" s="197" t="s">
        <v>102</v>
      </c>
      <c r="B105" s="29" t="s">
        <v>25</v>
      </c>
      <c r="C105" s="193"/>
      <c r="D105" s="228"/>
      <c r="E105" s="193"/>
      <c r="F105" s="228"/>
      <c r="G105" s="193"/>
      <c r="I105" s="86"/>
    </row>
    <row r="106" spans="1:9" hidden="1">
      <c r="A106" s="196" t="s">
        <v>103</v>
      </c>
      <c r="B106" s="25" t="s">
        <v>34</v>
      </c>
      <c r="C106" s="194"/>
      <c r="D106" s="229"/>
      <c r="E106" s="194"/>
      <c r="F106" s="229"/>
      <c r="G106" s="194"/>
      <c r="I106" s="86"/>
    </row>
    <row r="107" spans="1:9" hidden="1"/>
    <row r="108" spans="1:9" hidden="1">
      <c r="A108" s="24" t="s">
        <v>35</v>
      </c>
    </row>
    <row r="109" spans="1:9" hidden="1">
      <c r="A109" s="195" t="s">
        <v>19</v>
      </c>
      <c r="B109" s="168" t="s">
        <v>20</v>
      </c>
      <c r="C109" s="201">
        <f>C101</f>
        <v>44651</v>
      </c>
      <c r="D109" s="201">
        <f>D101</f>
        <v>44561</v>
      </c>
      <c r="E109" s="201">
        <f>E101</f>
        <v>44469</v>
      </c>
      <c r="F109" s="201">
        <f>F101</f>
        <v>44377</v>
      </c>
      <c r="G109" s="201">
        <f>G101</f>
        <v>44286</v>
      </c>
      <c r="I109" s="86"/>
    </row>
    <row r="110" spans="1:9" hidden="1">
      <c r="A110" s="55" t="s">
        <v>114</v>
      </c>
      <c r="B110" s="29" t="s">
        <v>22</v>
      </c>
      <c r="C110" s="192"/>
      <c r="D110" s="227"/>
      <c r="E110" s="192"/>
      <c r="F110" s="227"/>
      <c r="G110" s="192"/>
      <c r="I110" s="86"/>
    </row>
    <row r="111" spans="1:9" hidden="1">
      <c r="A111" s="55" t="s">
        <v>115</v>
      </c>
      <c r="B111" s="29" t="s">
        <v>22</v>
      </c>
      <c r="C111" s="193"/>
      <c r="D111" s="228"/>
      <c r="E111" s="193"/>
      <c r="F111" s="228"/>
      <c r="G111" s="193"/>
    </row>
    <row r="112" spans="1:9" hidden="1">
      <c r="A112" s="196" t="s">
        <v>103</v>
      </c>
      <c r="B112" s="25" t="s">
        <v>34</v>
      </c>
      <c r="C112" s="194"/>
      <c r="D112" s="229"/>
      <c r="E112" s="194"/>
      <c r="F112" s="229"/>
      <c r="G112" s="194"/>
    </row>
    <row r="113" spans="1:9" hidden="1">
      <c r="A113" s="198"/>
    </row>
    <row r="114" spans="1:9" hidden="1">
      <c r="A114" s="24" t="s">
        <v>58</v>
      </c>
    </row>
    <row r="115" spans="1:9" hidden="1">
      <c r="A115" s="195" t="s">
        <v>19</v>
      </c>
      <c r="B115" s="168" t="s">
        <v>20</v>
      </c>
      <c r="C115" s="201">
        <f>C109</f>
        <v>44651</v>
      </c>
      <c r="D115" s="201">
        <f>D109</f>
        <v>44561</v>
      </c>
      <c r="E115" s="201">
        <f>E109</f>
        <v>44469</v>
      </c>
      <c r="F115" s="201">
        <f>F109</f>
        <v>44377</v>
      </c>
      <c r="G115" s="201">
        <f>G109</f>
        <v>44286</v>
      </c>
    </row>
    <row r="116" spans="1:9" hidden="1">
      <c r="A116" s="55" t="s">
        <v>114</v>
      </c>
      <c r="B116" s="29" t="s">
        <v>22</v>
      </c>
      <c r="C116" s="192"/>
      <c r="D116" s="227"/>
      <c r="E116" s="192"/>
      <c r="F116" s="227"/>
      <c r="G116" s="192"/>
      <c r="I116" s="86"/>
    </row>
    <row r="117" spans="1:9" hidden="1">
      <c r="A117" s="55" t="s">
        <v>115</v>
      </c>
      <c r="B117" s="29" t="s">
        <v>22</v>
      </c>
      <c r="C117" s="193"/>
      <c r="D117" s="228"/>
      <c r="E117" s="193"/>
      <c r="F117" s="228"/>
      <c r="G117" s="193"/>
      <c r="I117" s="86"/>
    </row>
    <row r="118" spans="1:9" hidden="1">
      <c r="A118" s="196" t="s">
        <v>103</v>
      </c>
      <c r="B118" s="25" t="s">
        <v>34</v>
      </c>
      <c r="C118" s="194"/>
      <c r="D118" s="229"/>
      <c r="E118" s="194"/>
      <c r="F118" s="229"/>
      <c r="G118" s="194"/>
      <c r="I118" s="86"/>
    </row>
    <row r="119" spans="1:9" hidden="1">
      <c r="A119" s="200"/>
      <c r="B119" s="200"/>
      <c r="C119" s="200"/>
      <c r="D119" s="200"/>
      <c r="E119" s="200"/>
      <c r="F119" s="200"/>
      <c r="G119" s="200"/>
    </row>
    <row r="120" spans="1:9" hidden="1"/>
    <row r="121" spans="1:9">
      <c r="A121" s="200"/>
      <c r="B121" s="200"/>
      <c r="C121" s="200"/>
      <c r="D121" s="200"/>
      <c r="E121" s="200"/>
      <c r="F121" s="200"/>
      <c r="G121" s="200"/>
    </row>
    <row r="122" spans="1:9">
      <c r="A122" s="22" t="s">
        <v>278</v>
      </c>
    </row>
    <row r="123" spans="1:9">
      <c r="F123" s="111"/>
    </row>
    <row r="124" spans="1:9">
      <c r="A124" s="167" t="s">
        <v>19</v>
      </c>
      <c r="B124" s="476" t="s">
        <v>20</v>
      </c>
      <c r="C124" s="201">
        <f>C115</f>
        <v>44651</v>
      </c>
      <c r="D124" s="201">
        <f>D115</f>
        <v>44561</v>
      </c>
      <c r="E124" s="201">
        <f>E115</f>
        <v>44469</v>
      </c>
      <c r="F124" s="201">
        <f>F115</f>
        <v>44377</v>
      </c>
      <c r="G124" s="201">
        <f>G115</f>
        <v>44286</v>
      </c>
    </row>
    <row r="125" spans="1:9">
      <c r="A125" s="57" t="s">
        <v>82</v>
      </c>
      <c r="B125" s="26" t="s">
        <v>21</v>
      </c>
      <c r="C125" s="165">
        <v>128428.18499999998</v>
      </c>
      <c r="D125" s="166">
        <v>125762.06299999999</v>
      </c>
      <c r="E125" s="165">
        <v>122697.15000000001</v>
      </c>
      <c r="F125" s="166">
        <v>120795.90699899998</v>
      </c>
      <c r="G125" s="165">
        <v>118192.269</v>
      </c>
      <c r="I125" s="86"/>
    </row>
    <row r="126" spans="1:9" hidden="1">
      <c r="A126" s="53"/>
      <c r="B126" s="59" t="s">
        <v>23</v>
      </c>
      <c r="C126" s="143"/>
      <c r="D126" s="160"/>
      <c r="E126" s="143"/>
      <c r="F126" s="160"/>
      <c r="G126" s="143"/>
      <c r="I126" s="86"/>
    </row>
    <row r="127" spans="1:9">
      <c r="A127" s="53" t="s">
        <v>43</v>
      </c>
      <c r="B127" s="59" t="s">
        <v>21</v>
      </c>
      <c r="C127" s="142">
        <v>2666.1219999999871</v>
      </c>
      <c r="D127" s="162">
        <v>3064.91299999999</v>
      </c>
      <c r="E127" s="142">
        <v>1901.2430010000257</v>
      </c>
      <c r="F127" s="162">
        <v>2603.6379989999859</v>
      </c>
      <c r="G127" s="142">
        <v>-710.95799999999088</v>
      </c>
      <c r="I127" s="86"/>
    </row>
    <row r="128" spans="1:9" hidden="1">
      <c r="A128" s="53"/>
      <c r="B128" s="59"/>
      <c r="C128" s="144"/>
      <c r="D128" s="218"/>
      <c r="E128" s="144"/>
      <c r="F128" s="218"/>
      <c r="G128" s="144"/>
      <c r="I128" s="86"/>
    </row>
    <row r="129" spans="1:9">
      <c r="A129" s="53" t="s">
        <v>44</v>
      </c>
      <c r="B129" s="59" t="s">
        <v>23</v>
      </c>
      <c r="C129" s="144">
        <v>4.3049191171324032E-2</v>
      </c>
      <c r="D129" s="218">
        <v>4.2058420350990382E-2</v>
      </c>
      <c r="E129" s="144">
        <v>4.3369337865075859E-2</v>
      </c>
      <c r="F129" s="218">
        <v>3.6211814631439729E-2</v>
      </c>
      <c r="G129" s="144">
        <v>3.8776976902931436E-2</v>
      </c>
      <c r="I129" s="86"/>
    </row>
    <row r="130" spans="1:9">
      <c r="A130" s="53" t="s">
        <v>78</v>
      </c>
      <c r="B130" s="59" t="s">
        <v>121</v>
      </c>
      <c r="C130" s="145">
        <v>3.2102999017721481</v>
      </c>
      <c r="D130" s="219">
        <v>3.2584369685376084</v>
      </c>
      <c r="E130" s="145">
        <v>3.1362069605028666</v>
      </c>
      <c r="F130" s="219">
        <v>3.0899952535920483</v>
      </c>
      <c r="G130" s="145">
        <v>2.9000668680471917</v>
      </c>
      <c r="I130" s="86"/>
    </row>
    <row r="131" spans="1:9" hidden="1">
      <c r="A131" s="53"/>
      <c r="B131" s="128"/>
      <c r="C131" s="238">
        <v>0</v>
      </c>
      <c r="D131" s="239">
        <v>0</v>
      </c>
      <c r="E131" s="238">
        <v>0</v>
      </c>
      <c r="F131" s="239">
        <v>0</v>
      </c>
      <c r="G131" s="238">
        <v>0</v>
      </c>
      <c r="I131" s="86"/>
    </row>
    <row r="132" spans="1:9">
      <c r="A132" s="40"/>
      <c r="B132" s="126"/>
      <c r="C132" s="142"/>
      <c r="D132" s="162"/>
      <c r="E132" s="142"/>
      <c r="F132" s="162"/>
      <c r="G132" s="142"/>
      <c r="I132" s="86"/>
    </row>
    <row r="133" spans="1:9">
      <c r="A133" s="120" t="s">
        <v>83</v>
      </c>
      <c r="B133" s="126"/>
      <c r="C133" s="147"/>
      <c r="D133" s="220"/>
      <c r="E133" s="147"/>
      <c r="F133" s="220"/>
      <c r="G133" s="147"/>
      <c r="I133" s="86"/>
    </row>
    <row r="134" spans="1:9">
      <c r="A134" s="214" t="s">
        <v>280</v>
      </c>
      <c r="B134" s="477" t="s">
        <v>282</v>
      </c>
      <c r="C134" s="147">
        <v>614.53520619707751</v>
      </c>
      <c r="D134" s="220">
        <v>604.41667075889336</v>
      </c>
      <c r="E134" s="147">
        <v>573.52894566590146</v>
      </c>
      <c r="F134" s="220">
        <v>558.57450206573276</v>
      </c>
      <c r="G134" s="147">
        <v>540.87324726891848</v>
      </c>
      <c r="I134" s="86"/>
    </row>
    <row r="135" spans="1:9">
      <c r="A135" s="214" t="s">
        <v>92</v>
      </c>
      <c r="B135" s="478" t="s">
        <v>88</v>
      </c>
      <c r="C135" s="215">
        <v>98407.947392000002</v>
      </c>
      <c r="D135" s="221">
        <v>97411.959901999988</v>
      </c>
      <c r="E135" s="215">
        <v>93821.461659999986</v>
      </c>
      <c r="F135" s="221">
        <v>89025.942777000004</v>
      </c>
      <c r="G135" s="215">
        <v>84963.599904999995</v>
      </c>
      <c r="I135" s="86"/>
    </row>
    <row r="136" spans="1:9">
      <c r="A136" s="214" t="s">
        <v>281</v>
      </c>
      <c r="B136" s="478" t="s">
        <v>283</v>
      </c>
      <c r="C136" s="216">
        <v>1.6137776960765766</v>
      </c>
      <c r="D136" s="222">
        <v>1.6284982467887785</v>
      </c>
      <c r="E136" s="216">
        <v>1.5678591162523319</v>
      </c>
      <c r="F136" s="222">
        <v>1.5600218115486071</v>
      </c>
      <c r="G136" s="216">
        <v>1.527569795448396</v>
      </c>
      <c r="I136" s="86"/>
    </row>
    <row r="137" spans="1:9">
      <c r="A137" s="214" t="s">
        <v>95</v>
      </c>
      <c r="B137" s="478" t="s">
        <v>89</v>
      </c>
      <c r="C137" s="215">
        <v>258.42059009221003</v>
      </c>
      <c r="D137" s="221">
        <v>262.46001076953524</v>
      </c>
      <c r="E137" s="215">
        <v>256.48022663086175</v>
      </c>
      <c r="F137" s="221">
        <v>248.63722209334682</v>
      </c>
      <c r="G137" s="215">
        <v>239.95978648008557</v>
      </c>
      <c r="I137" s="86"/>
    </row>
    <row r="138" spans="1:9" hidden="1">
      <c r="A138" s="214"/>
      <c r="B138" s="128"/>
      <c r="C138" s="240"/>
      <c r="D138" s="241"/>
      <c r="E138" s="240"/>
      <c r="F138" s="241"/>
      <c r="G138" s="240"/>
      <c r="H138" s="242"/>
      <c r="I138" s="86"/>
    </row>
    <row r="139" spans="1:9">
      <c r="A139" s="40"/>
      <c r="B139" s="126"/>
      <c r="C139" s="142"/>
      <c r="D139" s="162"/>
      <c r="E139" s="142"/>
      <c r="F139" s="162"/>
      <c r="G139" s="142"/>
      <c r="I139" s="86"/>
    </row>
    <row r="140" spans="1:9" hidden="1">
      <c r="A140" s="120"/>
      <c r="B140" s="126"/>
      <c r="C140" s="142"/>
      <c r="D140" s="162"/>
      <c r="E140" s="142"/>
      <c r="F140" s="162"/>
      <c r="G140" s="142"/>
      <c r="I140" s="86"/>
    </row>
    <row r="141" spans="1:9" hidden="1">
      <c r="A141" s="122"/>
      <c r="B141" s="126"/>
      <c r="C141" s="163"/>
      <c r="D141" s="223"/>
      <c r="E141" s="163"/>
      <c r="F141" s="223"/>
      <c r="G141" s="163"/>
      <c r="I141" s="86"/>
    </row>
    <row r="142" spans="1:9" hidden="1">
      <c r="A142" s="118"/>
      <c r="B142" s="126"/>
      <c r="C142" s="146"/>
      <c r="D142" s="161"/>
      <c r="E142" s="146"/>
      <c r="F142" s="161"/>
      <c r="G142" s="146"/>
      <c r="I142" s="86"/>
    </row>
    <row r="143" spans="1:9" hidden="1">
      <c r="A143" s="127"/>
      <c r="B143" s="59"/>
      <c r="C143" s="164"/>
      <c r="D143" s="224"/>
      <c r="E143" s="164"/>
      <c r="F143" s="224"/>
      <c r="G143" s="164"/>
      <c r="I143" s="86"/>
    </row>
    <row r="144" spans="1:9" hidden="1">
      <c r="A144" s="127"/>
      <c r="B144" s="59"/>
      <c r="C144" s="164"/>
      <c r="D144" s="224"/>
      <c r="E144" s="164"/>
      <c r="F144" s="224"/>
      <c r="G144" s="164"/>
      <c r="I144" s="86"/>
    </row>
    <row r="145" spans="1:9" hidden="1">
      <c r="A145" s="127"/>
      <c r="B145" s="59"/>
      <c r="C145" s="164"/>
      <c r="D145" s="224"/>
      <c r="E145" s="164"/>
      <c r="F145" s="224"/>
      <c r="G145" s="164"/>
      <c r="I145" s="86"/>
    </row>
    <row r="146" spans="1:9" hidden="1">
      <c r="A146" s="211"/>
      <c r="B146" s="126"/>
      <c r="C146" s="164"/>
      <c r="D146" s="224"/>
      <c r="E146" s="164"/>
      <c r="F146" s="224"/>
      <c r="G146" s="164"/>
      <c r="I146" s="86"/>
    </row>
    <row r="147" spans="1:9">
      <c r="A147" s="212" t="s">
        <v>84</v>
      </c>
      <c r="B147" s="128"/>
      <c r="C147" s="164"/>
      <c r="D147" s="224"/>
      <c r="E147" s="164"/>
      <c r="F147" s="224"/>
      <c r="G147" s="164"/>
      <c r="I147" s="86"/>
    </row>
    <row r="148" spans="1:9">
      <c r="A148" s="122" t="s">
        <v>284</v>
      </c>
      <c r="B148" s="477" t="s">
        <v>282</v>
      </c>
      <c r="C148" s="142">
        <v>398.09084351747572</v>
      </c>
      <c r="D148" s="162">
        <v>392.94634738614207</v>
      </c>
      <c r="E148" s="142">
        <v>373.09319018202348</v>
      </c>
      <c r="F148" s="162">
        <v>354.70270001192836</v>
      </c>
      <c r="G148" s="142">
        <v>311.36972769974284</v>
      </c>
      <c r="I148" s="86"/>
    </row>
    <row r="149" spans="1:9">
      <c r="A149" s="123" t="s">
        <v>85</v>
      </c>
      <c r="B149" s="478" t="s">
        <v>21</v>
      </c>
      <c r="C149" s="157">
        <v>46733.957000000002</v>
      </c>
      <c r="D149" s="225">
        <v>45113.750999999997</v>
      </c>
      <c r="E149" s="157">
        <v>43920.006000000001</v>
      </c>
      <c r="F149" s="225">
        <v>42433.68</v>
      </c>
      <c r="G149" s="157">
        <v>40583.673999999992</v>
      </c>
      <c r="I149" s="86"/>
    </row>
    <row r="150" spans="1:9" ht="15">
      <c r="A150" s="124" t="s">
        <v>105</v>
      </c>
      <c r="B150" s="479" t="s">
        <v>23</v>
      </c>
      <c r="C150" s="213">
        <v>0.36389175008585545</v>
      </c>
      <c r="D150" s="226">
        <v>0.35872305148174927</v>
      </c>
      <c r="E150" s="213">
        <v>0.35795457351698878</v>
      </c>
      <c r="F150" s="226">
        <v>0.35128408779902859</v>
      </c>
      <c r="G150" s="213">
        <v>0.34336995425648353</v>
      </c>
      <c r="H150" s="129"/>
      <c r="I150" s="86"/>
    </row>
    <row r="151" spans="1:9">
      <c r="A151" s="122" t="s">
        <v>87</v>
      </c>
      <c r="B151" s="478" t="s">
        <v>90</v>
      </c>
      <c r="C151" s="142">
        <v>509303.47312318499</v>
      </c>
      <c r="D151" s="162">
        <v>478813.00798904902</v>
      </c>
      <c r="E151" s="142">
        <v>448911.87507589103</v>
      </c>
      <c r="F151" s="162">
        <v>410723.46653071704</v>
      </c>
      <c r="G151" s="142">
        <v>348230.38199061499</v>
      </c>
      <c r="I151" s="86"/>
    </row>
    <row r="152" spans="1:9">
      <c r="A152" s="122" t="s">
        <v>285</v>
      </c>
      <c r="B152" s="478" t="s">
        <v>283</v>
      </c>
      <c r="C152" s="146">
        <v>2.9034640721641392</v>
      </c>
      <c r="D152" s="161">
        <v>2.9428435962283106</v>
      </c>
      <c r="E152" s="146">
        <v>2.8714106004857438</v>
      </c>
      <c r="F152" s="161">
        <v>2.8519584637396491</v>
      </c>
      <c r="G152" s="146">
        <v>2.5891209883712372</v>
      </c>
      <c r="I152" s="86"/>
    </row>
    <row r="153" spans="1:9" s="384" customFormat="1">
      <c r="A153" s="440" t="s">
        <v>93</v>
      </c>
      <c r="B153" s="478" t="s">
        <v>91</v>
      </c>
      <c r="C153" s="215">
        <v>3714.5901748847104</v>
      </c>
      <c r="D153" s="221">
        <v>3585.9139643985932</v>
      </c>
      <c r="E153" s="215">
        <v>3454.9285559137847</v>
      </c>
      <c r="F153" s="221">
        <v>3302.3889206069616</v>
      </c>
      <c r="G153" s="215">
        <v>2895.6270009326895</v>
      </c>
      <c r="I153" s="385"/>
    </row>
    <row r="154" spans="1:9" s="384" customFormat="1">
      <c r="A154" s="440"/>
      <c r="B154" s="59"/>
      <c r="C154" s="142"/>
      <c r="D154" s="162"/>
      <c r="E154" s="142"/>
      <c r="F154" s="162"/>
      <c r="G154" s="142"/>
      <c r="I154" s="385"/>
    </row>
    <row r="155" spans="1:9" s="384" customFormat="1">
      <c r="A155" s="441" t="s">
        <v>286</v>
      </c>
      <c r="B155" s="59"/>
      <c r="C155" s="142"/>
      <c r="D155" s="162"/>
      <c r="E155" s="142"/>
      <c r="F155" s="162"/>
      <c r="G155" s="142"/>
      <c r="I155" s="385"/>
    </row>
    <row r="156" spans="1:9" s="384" customFormat="1">
      <c r="A156" s="442" t="s">
        <v>287</v>
      </c>
      <c r="B156" s="477" t="s">
        <v>296</v>
      </c>
      <c r="C156" s="142">
        <v>16076.818175438106</v>
      </c>
      <c r="D156" s="162">
        <v>16277.822766250702</v>
      </c>
      <c r="E156" s="142">
        <v>15197.943806062145</v>
      </c>
      <c r="F156" s="162">
        <v>14563.949273581722</v>
      </c>
      <c r="G156" s="142">
        <v>12439.710138719838</v>
      </c>
      <c r="I156" s="385"/>
    </row>
    <row r="157" spans="1:9" s="384" customFormat="1">
      <c r="A157" s="442" t="s">
        <v>288</v>
      </c>
      <c r="B157" s="477" t="s">
        <v>283</v>
      </c>
      <c r="C157" s="142">
        <v>209.50322259252565</v>
      </c>
      <c r="D157" s="162">
        <v>219.01426692404422</v>
      </c>
      <c r="E157" s="142">
        <v>215.44679423804777</v>
      </c>
      <c r="F157" s="162">
        <v>215.8748085624708</v>
      </c>
      <c r="G157" s="142">
        <v>192.24427774193168</v>
      </c>
      <c r="I157" s="385"/>
    </row>
    <row r="158" spans="1:9" s="384" customFormat="1">
      <c r="A158" s="443" t="s">
        <v>289</v>
      </c>
      <c r="B158" s="477" t="s">
        <v>282</v>
      </c>
      <c r="C158" s="142">
        <v>140.59215583524366</v>
      </c>
      <c r="D158" s="162">
        <v>140.21480656566354</v>
      </c>
      <c r="E158" s="142">
        <v>129.46983363951139</v>
      </c>
      <c r="F158" s="162">
        <v>123.07030388130812</v>
      </c>
      <c r="G158" s="142">
        <v>109.02713360201034</v>
      </c>
      <c r="I158" s="385"/>
    </row>
    <row r="159" spans="1:9" s="384" customFormat="1">
      <c r="A159" s="443" t="s">
        <v>290</v>
      </c>
      <c r="B159" s="477" t="s">
        <v>21</v>
      </c>
      <c r="C159" s="142">
        <v>26154.627</v>
      </c>
      <c r="D159" s="162">
        <v>25666.984000000004</v>
      </c>
      <c r="E159" s="142">
        <v>23942.401999999998</v>
      </c>
      <c r="F159" s="162">
        <v>23082.859000000004</v>
      </c>
      <c r="G159" s="142">
        <v>21670.111000000001</v>
      </c>
      <c r="I159" s="385"/>
    </row>
    <row r="160" spans="1:9" s="384" customFormat="1">
      <c r="A160" s="442" t="s">
        <v>291</v>
      </c>
      <c r="B160" s="477" t="s">
        <v>283</v>
      </c>
      <c r="C160" s="146">
        <v>1.8321106451097526</v>
      </c>
      <c r="D160" s="161">
        <v>1.8865571589552774</v>
      </c>
      <c r="E160" s="146">
        <v>1.8353706898850224</v>
      </c>
      <c r="F160" s="161">
        <v>1.8242152448508679</v>
      </c>
      <c r="G160" s="146">
        <v>1.6849140630979791</v>
      </c>
      <c r="I160" s="385"/>
    </row>
    <row r="161" spans="1:9" s="384" customFormat="1">
      <c r="A161" s="441" t="s">
        <v>292</v>
      </c>
      <c r="B161" s="477"/>
      <c r="C161" s="142"/>
      <c r="D161" s="162"/>
      <c r="E161" s="142"/>
      <c r="F161" s="162"/>
      <c r="G161" s="142"/>
      <c r="I161" s="385"/>
    </row>
    <row r="162" spans="1:9" s="384" customFormat="1">
      <c r="A162" s="440" t="s">
        <v>141</v>
      </c>
      <c r="B162" s="106" t="s">
        <v>45</v>
      </c>
      <c r="C162" s="142">
        <v>28797</v>
      </c>
      <c r="D162" s="162">
        <v>27422</v>
      </c>
      <c r="E162" s="142">
        <v>26751</v>
      </c>
      <c r="F162" s="162">
        <v>26104</v>
      </c>
      <c r="G162" s="142">
        <v>25368</v>
      </c>
      <c r="I162" s="385"/>
    </row>
    <row r="163" spans="1:9" s="384" customFormat="1">
      <c r="A163" s="444" t="s">
        <v>293</v>
      </c>
      <c r="B163" s="106" t="s">
        <v>45</v>
      </c>
      <c r="C163" s="142">
        <v>2048</v>
      </c>
      <c r="D163" s="484">
        <v>4097</v>
      </c>
      <c r="E163" s="142">
        <v>4562</v>
      </c>
      <c r="F163" s="482">
        <v>4505</v>
      </c>
      <c r="G163" s="142">
        <v>4627</v>
      </c>
      <c r="I163" s="385"/>
    </row>
    <row r="164" spans="1:9" s="384" customFormat="1">
      <c r="A164" s="444" t="s">
        <v>294</v>
      </c>
      <c r="B164" s="106" t="s">
        <v>45</v>
      </c>
      <c r="C164" s="150">
        <v>26749</v>
      </c>
      <c r="D164" s="485">
        <v>23325</v>
      </c>
      <c r="E164" s="150">
        <v>22189</v>
      </c>
      <c r="F164" s="483">
        <v>21599</v>
      </c>
      <c r="G164" s="150">
        <v>20741</v>
      </c>
      <c r="I164" s="385"/>
    </row>
    <row r="165" spans="1:9" s="384" customFormat="1">
      <c r="A165" s="440" t="s">
        <v>142</v>
      </c>
      <c r="B165" s="106" t="s">
        <v>45</v>
      </c>
      <c r="C165" s="151">
        <v>27782</v>
      </c>
      <c r="D165" s="486">
        <v>26278</v>
      </c>
      <c r="E165" s="151">
        <v>25600</v>
      </c>
      <c r="F165" s="481">
        <v>24701</v>
      </c>
      <c r="G165" s="151">
        <v>23826</v>
      </c>
      <c r="I165" s="385"/>
    </row>
    <row r="166" spans="1:9" s="384" customFormat="1">
      <c r="A166" s="440" t="s">
        <v>143</v>
      </c>
      <c r="B166" s="106" t="s">
        <v>45</v>
      </c>
      <c r="C166" s="151">
        <v>92304</v>
      </c>
      <c r="D166" s="447">
        <v>88572</v>
      </c>
      <c r="E166" s="151">
        <v>85205</v>
      </c>
      <c r="F166" s="447">
        <v>81319</v>
      </c>
      <c r="G166" s="151">
        <v>76563</v>
      </c>
      <c r="I166" s="385"/>
    </row>
    <row r="167" spans="1:9">
      <c r="A167" s="53" t="s">
        <v>295</v>
      </c>
      <c r="B167" s="446" t="s">
        <v>283</v>
      </c>
      <c r="C167" s="151">
        <v>14456.200764959847</v>
      </c>
      <c r="D167" s="447">
        <v>14830.624769108275</v>
      </c>
      <c r="E167" s="151">
        <v>14443.868618513647</v>
      </c>
      <c r="F167" s="447">
        <v>14303.321514682839</v>
      </c>
      <c r="G167" s="151">
        <v>13684.258400303552</v>
      </c>
    </row>
    <row r="168" spans="1:9" s="129" customFormat="1" ht="15">
      <c r="A168" s="441" t="s">
        <v>301</v>
      </c>
      <c r="B168" s="446"/>
      <c r="C168" s="151"/>
      <c r="D168" s="447"/>
      <c r="E168" s="151"/>
      <c r="F168" s="447"/>
      <c r="G168" s="151"/>
      <c r="I168" s="130"/>
    </row>
    <row r="169" spans="1:9">
      <c r="A169" s="53" t="s">
        <v>297</v>
      </c>
      <c r="B169" s="446" t="s">
        <v>45</v>
      </c>
      <c r="C169" s="151">
        <v>3757</v>
      </c>
      <c r="D169" s="447">
        <v>3704</v>
      </c>
      <c r="E169" s="151">
        <v>3662</v>
      </c>
      <c r="F169" s="447">
        <v>3602</v>
      </c>
      <c r="G169" s="151">
        <v>3526</v>
      </c>
    </row>
    <row r="170" spans="1:9">
      <c r="A170" s="53" t="s">
        <v>298</v>
      </c>
      <c r="B170" s="446" t="s">
        <v>45</v>
      </c>
      <c r="C170" s="151">
        <v>34183.70641469257</v>
      </c>
      <c r="D170" s="447">
        <v>33953.040766738661</v>
      </c>
      <c r="E170" s="151">
        <v>33505.502457673407</v>
      </c>
      <c r="F170" s="447">
        <v>33535.787617712376</v>
      </c>
      <c r="G170" s="151">
        <v>33520.212422007942</v>
      </c>
      <c r="I170" s="86"/>
    </row>
    <row r="171" spans="1:9" s="129" customFormat="1" ht="15">
      <c r="A171" s="53" t="s">
        <v>299</v>
      </c>
      <c r="B171" s="446" t="s">
        <v>283</v>
      </c>
      <c r="C171" s="151">
        <v>7175.4275961406629</v>
      </c>
      <c r="D171" s="447">
        <v>7245.0897072704765</v>
      </c>
      <c r="E171" s="151">
        <v>6791.9738918913126</v>
      </c>
      <c r="F171" s="447">
        <v>6579.2382203926618</v>
      </c>
      <c r="G171" s="151">
        <v>6490.7548964510825</v>
      </c>
      <c r="I171" s="130"/>
    </row>
    <row r="172" spans="1:9" s="384" customFormat="1">
      <c r="A172" s="445" t="s">
        <v>300</v>
      </c>
      <c r="B172" s="480" t="s">
        <v>283</v>
      </c>
      <c r="C172" s="487">
        <v>108464.1495044013</v>
      </c>
      <c r="D172" s="447">
        <v>108834.41085295512</v>
      </c>
      <c r="E172" s="151">
        <v>104427.15000264673</v>
      </c>
      <c r="F172" s="447">
        <v>102386.63871928937</v>
      </c>
      <c r="G172" s="487">
        <v>97073.097424731241</v>
      </c>
      <c r="I172" s="385"/>
    </row>
    <row r="173" spans="1:9" s="132" customFormat="1" ht="13.8" hidden="1">
      <c r="A173" s="36"/>
      <c r="B173" s="35"/>
      <c r="C173" s="35"/>
      <c r="D173" s="35"/>
      <c r="E173" s="35"/>
      <c r="F173" s="35"/>
      <c r="G173" s="35"/>
      <c r="I173" s="133"/>
    </row>
    <row r="174" spans="1:9" s="2" customFormat="1" ht="25.5" customHeight="1">
      <c r="A174" s="564"/>
      <c r="B174" s="564"/>
      <c r="C174" s="564"/>
      <c r="D174" s="564"/>
      <c r="E174" s="564"/>
      <c r="F174" s="564"/>
      <c r="G174" s="564"/>
    </row>
  </sheetData>
  <mergeCells count="1">
    <mergeCell ref="A174:G174"/>
  </mergeCells>
  <phoneticPr fontId="3" type="noConversion"/>
  <hyperlinks>
    <hyperlink ref="A1" location="Cover!E6" display="INDEX"/>
  </hyperlinks>
  <pageMargins left="0.23" right="0.23" top="1" bottom="1" header="0.5" footer="0.5"/>
  <pageSetup paperSize="9" scale="68" orientation="portrait" r:id="rId1"/>
  <headerFooter alignWithMargins="0">
    <oddFooter>Page &amp;P of &amp;N</oddFooter>
  </headerFooter>
  <rowBreaks count="1" manualBreakCount="1">
    <brk id="80" max="7" man="1"/>
  </rowBreaks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Cover</vt:lpstr>
      <vt:lpstr>Trends file-1</vt:lpstr>
      <vt:lpstr>Trends file-2 </vt:lpstr>
      <vt:lpstr>Trends file-3</vt:lpstr>
      <vt:lpstr>Trends file-4</vt:lpstr>
      <vt:lpstr>Trends file-5-SCH</vt:lpstr>
      <vt:lpstr>Trends file-6-Ops</vt:lpstr>
      <vt:lpstr>Cover!Print_Area</vt:lpstr>
      <vt:lpstr>'Trends file-1'!Print_Area</vt:lpstr>
      <vt:lpstr>'Trends file-2 '!Print_Area</vt:lpstr>
      <vt:lpstr>'Trends file-3'!Print_Area</vt:lpstr>
      <vt:lpstr>'Trends file-4'!Print_Area</vt:lpstr>
      <vt:lpstr>'Trends file-5-SCH'!Print_Area</vt:lpstr>
      <vt:lpstr>'Trends file-6-Ops'!Print_Area</vt:lpstr>
    </vt:vector>
  </TitlesOfParts>
  <Company>BTVL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aaggarwal</dc:creator>
  <cp:lastModifiedBy>Rishabh Sirohia</cp:lastModifiedBy>
  <cp:lastPrinted>2021-11-02T06:31:24Z</cp:lastPrinted>
  <dcterms:created xsi:type="dcterms:W3CDTF">2005-10-14T06:27:59Z</dcterms:created>
  <dcterms:modified xsi:type="dcterms:W3CDTF">2022-05-17T10:13:35Z</dcterms:modified>
</cp:coreProperties>
</file>